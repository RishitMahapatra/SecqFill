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0" documentId="8_{87D18FE4-F23F-49BB-AC6E-15FBE2043EEE}" xr6:coauthVersionLast="47" xr6:coauthVersionMax="47" xr10:uidLastSave="{00000000-0000-0000-0000-000000000000}"/>
  <bookViews>
    <workbookView xWindow="0" yWindow="0" windowWidth="0" windowHeight="0" firstSheet="2" activeTab="2" xr2:uid="{00000000-000D-0000-FFFF-FFFF00000000}"/>
  </bookViews>
  <sheets>
    <sheet name="Start Here" sheetId="3" r:id="rId1"/>
    <sheet name="Dashboard" sheetId="1" r:id="rId2"/>
    <sheet name="Your Draft" sheetId="2" r:id="rId3"/>
  </sheets>
  <definedNames>
    <definedName name="_xlnm._FilterDatabase" localSheetId="2" hidden="1">'Your Draft'!$B$11:$P$167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1" l="1"/>
  <c r="E23" i="1"/>
  <c r="E22" i="1"/>
  <c r="E21" i="1"/>
  <c r="E20" i="1"/>
  <c r="E19" i="1"/>
  <c r="E18" i="1"/>
  <c r="E17" i="1"/>
  <c r="E16" i="1"/>
  <c r="E15" i="1"/>
  <c r="E14" i="1"/>
  <c r="E13" i="1"/>
  <c r="E12" i="1"/>
  <c r="F7" i="1"/>
  <c r="F24" i="1"/>
  <c r="D24" i="1"/>
  <c r="F23" i="1"/>
  <c r="D23" i="1"/>
  <c r="F22" i="1"/>
  <c r="D22" i="1"/>
  <c r="F21" i="1"/>
  <c r="D21" i="1"/>
  <c r="F20" i="1"/>
  <c r="D20" i="1"/>
  <c r="F19" i="1"/>
  <c r="D19" i="1"/>
  <c r="F18" i="1"/>
  <c r="D18" i="1"/>
  <c r="F17" i="1"/>
  <c r="D17" i="1"/>
  <c r="F16" i="1"/>
  <c r="D16" i="1"/>
  <c r="F15" i="1"/>
  <c r="D15" i="1"/>
  <c r="F14" i="1"/>
  <c r="D14" i="1"/>
  <c r="F13" i="1"/>
  <c r="D13" i="1"/>
  <c r="F12" i="1"/>
  <c r="D12" i="1"/>
  <c r="D7" i="1"/>
  <c r="C24" i="1"/>
  <c r="C23" i="1"/>
  <c r="C22" i="1"/>
  <c r="C21" i="1"/>
  <c r="C20" i="1"/>
  <c r="C19" i="1"/>
  <c r="C18" i="1"/>
  <c r="C17" i="1"/>
  <c r="C16" i="1"/>
  <c r="C15" i="1"/>
  <c r="C14" i="1"/>
  <c r="C13" i="1"/>
  <c r="C12" i="1"/>
  <c r="C7" i="1"/>
  <c r="E7" i="1"/>
  <c r="B7" i="1"/>
</calcChain>
</file>

<file path=xl/sharedStrings.xml><?xml version="1.0" encoding="utf-8"?>
<sst xmlns="http://schemas.openxmlformats.org/spreadsheetml/2006/main" count="361" uniqueCount="218">
  <si>
    <t>Your Security Assessment Questionnaire Template</t>
  </si>
  <si>
    <t>How to use this template:</t>
  </si>
  <si>
    <r>
      <rPr>
        <u/>
        <sz val="12"/>
        <color rgb="FF000000"/>
        <rFont val="DM Serif Display"/>
      </rPr>
      <t xml:space="preserve">Step 1
</t>
    </r>
    <r>
      <rPr>
        <sz val="12"/>
        <color rgb="FF000000"/>
        <rFont val="Albert Sans"/>
      </rPr>
      <t>Add Questions and Tag Frameworks</t>
    </r>
  </si>
  <si>
    <t>Use the Your Draft tab to capture the security questions your organization commonly receives. The questions provided are examples and should be customized to reflect real‑world inquiries.
For each question, tag the framework(s) it is typically answered in (SIG Core, CAIQ, and/or VSAQ) to enable consistent reuse across questionnaires.</t>
  </si>
  <si>
    <r>
      <rPr>
        <u/>
        <sz val="12"/>
        <color rgb="FF000000"/>
        <rFont val="DM Serif Display"/>
      </rPr>
      <t xml:space="preserve">Step 2
</t>
    </r>
    <r>
      <rPr>
        <sz val="12"/>
        <color rgb="FF000000"/>
        <rFont val="Albert Sans"/>
      </rPr>
      <t>Enter Your Response for Each Question</t>
    </r>
  </si>
  <si>
    <t xml:space="preserve">For each question, record a single control status (Yes / No / Partial) based on current implementation. Use Partial when a control exists but is incomplete, inconsistently applied, or missing documentation or scope. Provide a concise explanation with a remediation plan, if necessary, and reference existing evidence where applicable. </t>
  </si>
  <si>
    <r>
      <rPr>
        <u/>
        <sz val="12"/>
        <color rgb="FF000000"/>
        <rFont val="DM Serif Display"/>
      </rPr>
      <t xml:space="preserve">Step 3
</t>
    </r>
    <r>
      <rPr>
        <sz val="12"/>
        <color rgb="FF000000"/>
        <rFont val="Albert Sans"/>
      </rPr>
      <t>Assign Owners and Maintain Accuracy</t>
    </r>
  </si>
  <si>
    <t>Assign an Owner responsible for the accuracy of each answer and track Last Reviewed and Next Review dates. For each response, record a maturity score to reflect how fully the control is implemented. Update responses and scores when controls change or evidence expires to keep answers consistent, defensible, and useful for tracking improvement over time.</t>
  </si>
  <si>
    <r>
      <rPr>
        <u/>
        <sz val="12"/>
        <color rgb="FF000000"/>
        <rFont val="DM Serif Display"/>
      </rPr>
      <t xml:space="preserve">Step 4
</t>
    </r>
    <r>
      <rPr>
        <sz val="12"/>
        <color rgb="FF000000"/>
        <rFont val="Albert Sans"/>
      </rPr>
      <t>Review the Dashboard Regulary</t>
    </r>
  </si>
  <si>
    <t>Use the Dashboard tab to monitor the overall state of your security program. The dashboard automatically summarizes control status, maturity, and coverage by category based on the data in Your Draft. Review this view regularly to identify gaps, prioritize improvements, track progress over time, and support leadership or audit discussions.</t>
  </si>
  <si>
    <t xml:space="preserve">Automatically respond to high-stakes security questionnaires with Loopio. </t>
  </si>
  <si>
    <t>Book a Demo</t>
  </si>
  <si>
    <t>Your Security Program Dashboard</t>
  </si>
  <si>
    <t>Fill in Your Draft to keep this view current. Use it in team meetings and leadership reviews.</t>
  </si>
  <si>
    <t>Program Summary</t>
  </si>
  <si>
    <t>Total Questions</t>
  </si>
  <si>
    <t>Approved</t>
  </si>
  <si>
    <t>Draft</t>
  </si>
  <si>
    <t>Needs Update</t>
  </si>
  <si>
    <t>Avg. Maturity</t>
  </si>
  <si>
    <t>Control Status by Category</t>
  </si>
  <si>
    <t>Category</t>
  </si>
  <si>
    <t>Total</t>
  </si>
  <si>
    <t>Yes</t>
  </si>
  <si>
    <t>Partial</t>
  </si>
  <si>
    <t>No</t>
  </si>
  <si>
    <t>Governance &amp; Risk</t>
  </si>
  <si>
    <t>Asset Management</t>
  </si>
  <si>
    <t>Access Control &amp; Identity</t>
  </si>
  <si>
    <t>Data Security &amp; Encryption</t>
  </si>
  <si>
    <t>Application Security</t>
  </si>
  <si>
    <t>Network &amp; Infrastructure</t>
  </si>
  <si>
    <t>Monitoring &amp; Logging</t>
  </si>
  <si>
    <t>Incident Response</t>
  </si>
  <si>
    <t>Business Continuity</t>
  </si>
  <si>
    <t>Physical Security</t>
  </si>
  <si>
    <t>Third-Party &amp; Supply Chain</t>
  </si>
  <si>
    <t>Employee &amp; HR Controls</t>
  </si>
  <si>
    <t>Compliance &amp; Certifications</t>
  </si>
  <si>
    <t>Your Security Assessment Questionnaire Template - Draft</t>
  </si>
  <si>
    <t>Tips for using this template:</t>
  </si>
  <si>
    <t>1. Be transparent; evaluators look for trust and maturity, not a "Yes" to everything.</t>
  </si>
  <si>
    <t>2. Check for multi-part requirements and answer "Partial" if any part is missing.</t>
  </si>
  <si>
    <t>3. Reference evidence, such as "See SOC 2 Type II report, CC6.1–CC6.8."</t>
  </si>
  <si>
    <t>4. Keep explanations clear and concise for the assessed service and environment.</t>
  </si>
  <si>
    <t>QUESTION</t>
  </si>
  <si>
    <t>FRAMEWORKS</t>
  </si>
  <si>
    <t>RESPONSE</t>
  </si>
  <si>
    <t>INTERNAL TRACKING</t>
  </si>
  <si>
    <t>#</t>
  </si>
  <si>
    <t>Question</t>
  </si>
  <si>
    <t>SIG</t>
  </si>
  <si>
    <t>CAIQ</t>
  </si>
  <si>
    <t>VSAQ</t>
  </si>
  <si>
    <t>Control Status</t>
  </si>
  <si>
    <t>Explanation / Evidence</t>
  </si>
  <si>
    <t>Responsibility (CAIQ Responses)</t>
  </si>
  <si>
    <t>Owner</t>
  </si>
  <si>
    <t>Status</t>
  </si>
  <si>
    <t>Maturity
(1–5)</t>
  </si>
  <si>
    <t>Last Reviewed</t>
  </si>
  <si>
    <t>Next Review</t>
  </si>
  <si>
    <t>Evidence Link</t>
  </si>
  <si>
    <t xml:space="preserve">  GOVERNANCE &amp; RISK</t>
  </si>
  <si>
    <t>Does the organization maintain formally approved information security policies?</t>
  </si>
  <si>
    <t>Are information security roles and responsibilities documented?</t>
  </si>
  <si>
    <t>Is executive management involved in information security oversight?</t>
  </si>
  <si>
    <t>Are security policies communicated to all employees?</t>
  </si>
  <si>
    <t>Are policy exceptions formally approved and documented?</t>
  </si>
  <si>
    <t>Are information security risk assessments performed at least annually?</t>
  </si>
  <si>
    <t>Is risk assessment methodology formally documented?</t>
  </si>
  <si>
    <t>Are identified risks tracked to remediation?</t>
  </si>
  <si>
    <t>Does risk assessment include third-party and supply chain risks?</t>
  </si>
  <si>
    <t>Are residual risks approved by management?</t>
  </si>
  <si>
    <t xml:space="preserve">  ASSET MANAGEMENT</t>
  </si>
  <si>
    <t>Is an inventory of information assets maintained and reviewed?</t>
  </si>
  <si>
    <t>Are assets classified based on sensitivity?</t>
  </si>
  <si>
    <t>Are asset owners assigned and documented?</t>
  </si>
  <si>
    <t>Are acceptable use requirements defined for information assets?</t>
  </si>
  <si>
    <t>Is secure disposal of assets enforced?</t>
  </si>
  <si>
    <t xml:space="preserve">  ACCESS CONTROL &amp; IDENTITY</t>
  </si>
  <si>
    <t>Are user accounts uniquely assigned to individuals?</t>
  </si>
  <si>
    <t>Is least privilege enforced for system access?</t>
  </si>
  <si>
    <t>Are access requests formally approved?</t>
  </si>
  <si>
    <t>Is multi-factor authentication implemented where appropriate?</t>
  </si>
  <si>
    <t>Are access rights reviewed periodically?</t>
  </si>
  <si>
    <t>Are identities uniquely assigned and managed for cloud service access?</t>
  </si>
  <si>
    <t>Is multi-factor authentication enforced for privileged access?</t>
  </si>
  <si>
    <t>Are authentication mechanisms integrated with centralized identity services?</t>
  </si>
  <si>
    <t>Are service accounts managed separately from user accounts?</t>
  </si>
  <si>
    <t>What authentication methods are supported for end users (e.g., username/password, SSO, MFA)?</t>
  </si>
  <si>
    <t>Do you support single sign-on (SSO) via SAML 2.0 or OAuth 2.0 / OIDC?</t>
  </si>
  <si>
    <t>Is multi-factor authentication (MFA) available? Is it enforced or optional?</t>
  </si>
  <si>
    <t>Are account lockout or rate-limiting controls in place after repeated failed login attempts?</t>
  </si>
  <si>
    <t>Is role-based access control (RBAC) implemented to limit user permissions to the minimum necessary?</t>
  </si>
  <si>
    <t>How is privileged/administrative access to production systems managed, monitored, and reviewed?</t>
  </si>
  <si>
    <t>Are access rights reviewed and revoked promptly when an employee changes roles or leaves the organization?</t>
  </si>
  <si>
    <t xml:space="preserve">  DATA SECURITY &amp; ENCRYPTION</t>
  </si>
  <si>
    <t>Is sensitive data encrypted in transit using strong cryptography?</t>
  </si>
  <si>
    <t>Is sensitive data encrypted at rest?</t>
  </si>
  <si>
    <t>Are encryption keys securely managed?</t>
  </si>
  <si>
    <t>Are cryptographic standards formally defined?</t>
  </si>
  <si>
    <t>Is weak or deprecated cryptography prohibited?</t>
  </si>
  <si>
    <t>Is customer data encrypted at rest within the cloud service?</t>
  </si>
  <si>
    <t>Is customer data encrypted in transit using industry-accepted protocols?</t>
  </si>
  <si>
    <t>Are data retention and deletion processes documented and enforced?</t>
  </si>
  <si>
    <t>Is customer data logically segregated in multi-tenant environments?</t>
  </si>
  <si>
    <t>Are backups of customer data protected using encryption?</t>
  </si>
  <si>
    <t>In which countries or regions is customer data stored and processed?</t>
  </si>
  <si>
    <t>Is customer data logically isolated from other customers in a multi-tenant environment?</t>
  </si>
  <si>
    <t>Is customer data encrypted at rest? What algorithm and key length are used (e.g., AES-256)?</t>
  </si>
  <si>
    <t>Is customer data encrypted in transit? What protocol versions are enforced (e.g., TLS 1.2+)?</t>
  </si>
  <si>
    <t>How are encryption keys managed? Are they rotated, and are they stored separately from the data they protect?</t>
  </si>
  <si>
    <t>What is your data retention policy for customer data, and how is data securely deleted at end of retention?</t>
  </si>
  <si>
    <t>Can customers request deletion of their data? What is the process and the SLA for fulfillment?</t>
  </si>
  <si>
    <t>Do you share or sell customer data with third parties? If so, under what circumstances?</t>
  </si>
  <si>
    <t xml:space="preserve">  APPLICATION SECURITY</t>
  </si>
  <si>
    <t>Is secure development integrated into the SDLC?</t>
  </si>
  <si>
    <t>Are applications tested for security vulnerabilities?</t>
  </si>
  <si>
    <t>Are security defects tracked and remediated?</t>
  </si>
  <si>
    <t>Are third-party code components managed securely?</t>
  </si>
  <si>
    <t>Are application access controls enforced?</t>
  </si>
  <si>
    <t>Is your application assessed against the OWASP Top 10 vulnerabilities? If so, how frequently?</t>
  </si>
  <si>
    <t>Do you perform static application security testing (SAST) as part of your SDLC?</t>
  </si>
  <si>
    <t>Do you perform dynamic application security testing (DAST) against production or staging environments?</t>
  </si>
  <si>
    <t>Are third-party penetration tests conducted against your application? If so, how frequently and by whom?</t>
  </si>
  <si>
    <t>Do you operate a vulnerability disclosure program or bug bounty program?</t>
  </si>
  <si>
    <t>Are security requirements formally defined and reviewed as part of your software development lifecycle?</t>
  </si>
  <si>
    <t>Is a web application firewall (WAF) deployed in front of your production application?</t>
  </si>
  <si>
    <t>How are third-party libraries and open-source dependencies tracked and monitored for known vulnerabilities?</t>
  </si>
  <si>
    <t xml:space="preserve">  NETWORK &amp; INFRASTRUCTURE</t>
  </si>
  <si>
    <t>Are system change management procedures documented?</t>
  </si>
  <si>
    <t>Are production and non-production environments separated?</t>
  </si>
  <si>
    <t>Are system logs protected from unauthorized modification?</t>
  </si>
  <si>
    <t>Are vulnerabilities identified and remediated?</t>
  </si>
  <si>
    <t>Are administrative activities monitored?</t>
  </si>
  <si>
    <t>Are network boundaries protected using firewalls?</t>
  </si>
  <si>
    <t>Is network traffic monitored for suspicious activity?</t>
  </si>
  <si>
    <t>Is network segmentation implemented?</t>
  </si>
  <si>
    <t>Are remote connections securely managed?</t>
  </si>
  <si>
    <t>Are network configurations reviewed periodically?</t>
  </si>
  <si>
    <t>Are cloud infrastructure components hardened using secure configurations?</t>
  </si>
  <si>
    <t>Is tenant isolation enforced at the hypervisor or virtualization layer?</t>
  </si>
  <si>
    <t>Are virtual machine images securely managed and maintained?</t>
  </si>
  <si>
    <t>Are management plane interfaces protected from unauthorized access?</t>
  </si>
  <si>
    <t>Are vulnerability scans performed on infrastructure components?</t>
  </si>
  <si>
    <t>Which cloud provider(s) do you use (e.g., AWS, GCP, Azure)? Do you use dedicated or shared infrastructure?</t>
  </si>
  <si>
    <t>Are production, staging, and development environments logically separated?</t>
  </si>
  <si>
    <t>Is network segmentation implemented to isolate sensitive systems and limit lateral movement?</t>
  </si>
  <si>
    <t>Are firewall rules, security groups, and network access policies reviewed and audited regularly?</t>
  </si>
  <si>
    <t>Is administrative access to production systems restricted to VPN, bastion hosts, or Zero Trust controls?</t>
  </si>
  <si>
    <t>Are vulnerability scans performed against infrastructure? What is your SLA for remediating critical findings?</t>
  </si>
  <si>
    <t>What is your patch management cadence for operating systems and server-side software?</t>
  </si>
  <si>
    <t xml:space="preserve">  MONITORING &amp; LOGGING</t>
  </si>
  <si>
    <t>Are security-relevant events logged within the cloud environment?</t>
  </si>
  <si>
    <t>Are logs protected from unauthorized modification?</t>
  </si>
  <si>
    <t>Are logs retained in accordance with documented requirements?</t>
  </si>
  <si>
    <t>Is log monitoring performed to detect suspicious activity?</t>
  </si>
  <si>
    <t>Are customers provided access to relevant audit logs?</t>
  </si>
  <si>
    <t>Are security events logged and monitored continuously? Do you use a SIEM or equivalent system?</t>
  </si>
  <si>
    <t>How long are security and access logs retained?</t>
  </si>
  <si>
    <t>Do you have a documented and tested security incident response plan?</t>
  </si>
  <si>
    <t>What is your process and SLA for notifying customers in the event of a security incident or data breach?</t>
  </si>
  <si>
    <t>Have you experienced a security incident or data breach in the past 24 months? If so, briefly describe.</t>
  </si>
  <si>
    <t xml:space="preserve">  INCIDENT RESPONSE</t>
  </si>
  <si>
    <t>Is an incident response plan documented and approved?</t>
  </si>
  <si>
    <t>Are incident response roles defined?</t>
  </si>
  <si>
    <t>Are security incidents documented and investigated?</t>
  </si>
  <si>
    <t>Are incident response exercises performed?</t>
  </si>
  <si>
    <t>Are customers notified of incidents affecting their data?</t>
  </si>
  <si>
    <t>Is a cloud-specific incident response plan documented and maintained?</t>
  </si>
  <si>
    <t>Are security incidents detected and investigated in the cloud environment?</t>
  </si>
  <si>
    <t>Are customers notified of incidents impacting their data?</t>
  </si>
  <si>
    <t>Are incident response roles and responsibilities defined?</t>
  </si>
  <si>
    <t>Are incident response processes tested periodically?</t>
  </si>
  <si>
    <t xml:space="preserve">  BUSINESS CONTINUITY</t>
  </si>
  <si>
    <t>Is a business continuity plan documented?</t>
  </si>
  <si>
    <t>Is a disaster recovery plan implemented?</t>
  </si>
  <si>
    <t>Are backups performed regularly?</t>
  </si>
  <si>
    <t>Are backup restorations tested?</t>
  </si>
  <si>
    <t>Are recovery objectives defined?</t>
  </si>
  <si>
    <t>Are disaster recovery procedures documented for the cloud service?</t>
  </si>
  <si>
    <t>Are backups performed and tested regularly?</t>
  </si>
  <si>
    <t>Are recovery time and recovery point objectives defined?</t>
  </si>
  <si>
    <t>Is redundancy implemented to support availability commitments?</t>
  </si>
  <si>
    <t>Are business continuity plans reviewed periodically?</t>
  </si>
  <si>
    <t xml:space="preserve">  PHYSICAL SECURITY</t>
  </si>
  <si>
    <t>Are facilities protected by physical access controls?</t>
  </si>
  <si>
    <t>Are visitors logged and escorted?</t>
  </si>
  <si>
    <t>Are physical access rights reviewed periodically?</t>
  </si>
  <si>
    <t>Are environmental controls implemented?</t>
  </si>
  <si>
    <t>Are physical security incidents logged and reviewed?</t>
  </si>
  <si>
    <t xml:space="preserve">  THIRD-PARTY &amp; SUPPLY CHAIN</t>
  </si>
  <si>
    <t>Are third-party security risks assessed prior to engagement?</t>
  </si>
  <si>
    <t>Are security requirements included in supplier contracts?</t>
  </si>
  <si>
    <t>Are third-party assessments reviewed periodically?</t>
  </si>
  <si>
    <t>Are subcontractors subject to security oversight?</t>
  </si>
  <si>
    <t>Are third-party incidents tracked and addressed?</t>
  </si>
  <si>
    <t>Are third-party providers assessed for security prior to engagement?</t>
  </si>
  <si>
    <t>Are security requirements communicated to cloud subprocessors?</t>
  </si>
  <si>
    <t>Are third-party risks reviewed periodically?</t>
  </si>
  <si>
    <t>Are subcontractors required to meet equivalent security controls?</t>
  </si>
  <si>
    <t>Are third-party security incidents tracked and addressed?</t>
  </si>
  <si>
    <t>Do you maintain an inventory of third-party sub-processors that have access to customer data?</t>
  </si>
  <si>
    <t>Are sub-processors required to meet equivalent security standards? How is this assessed and enforced?</t>
  </si>
  <si>
    <t>Are sub-processors listed in your privacy policy or DPA, and are customers notified of changes?</t>
  </si>
  <si>
    <t>How are third-party software components and services assessed for security risk before adoption?</t>
  </si>
  <si>
    <t xml:space="preserve">  EMPLOYEE &amp; HR CONTROLS</t>
  </si>
  <si>
    <t>Are background checks conducted on employees and contractors who have access to customer data?</t>
  </si>
  <si>
    <t>Is security awareness training mandatory for all employees? How frequently is it conducted?</t>
  </si>
  <si>
    <t>Is there a documented acceptable use policy governing employee access to systems and data?</t>
  </si>
  <si>
    <t>How do you manage and secure employee devices used to access production systems or customer data?</t>
  </si>
  <si>
    <t xml:space="preserve">  COMPLIANCE &amp; CERTIFICATIONS</t>
  </si>
  <si>
    <t>Does your organization hold a SOC 2 Type II report? Can it be shared under NDA?</t>
  </si>
  <si>
    <t>Do you hold an ISO 27001 certification? If so, what is the certified scope?</t>
  </si>
  <si>
    <t>Do you comply with GDPR? Do you have a Data Processing Agreement (DPA) available?</t>
  </si>
  <si>
    <t>Are internal security audits or risk assessments conducted? How frequently?</t>
  </si>
  <si>
    <t>Do you have a published privacy policy? When was it last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</si>
</sst>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24"/>
      <color rgb="FF000000"/>
      <name val="DM Serif Display"/>
    </font>
    <font>
      <sz val="11"/>
      <name val="albert sans"/>
    </font>
    <font>
      <b/>
      <sz val="11"/>
      <color theme="0"/>
      <name val="DM Serif Display"/>
    </font>
    <font>
      <b/>
      <sz val="10"/>
      <color rgb="FF6B7280"/>
      <name val="Calibri"/>
    </font>
    <font>
      <b/>
      <sz val="12"/>
      <color theme="0"/>
      <name val="DM Serif Display"/>
    </font>
    <font>
      <sz val="12"/>
      <color theme="1"/>
      <name val="Calibri"/>
      <family val="2"/>
      <scheme val="minor"/>
    </font>
    <font>
      <sz val="11"/>
      <color theme="1"/>
      <name val="albert sans"/>
    </font>
    <font>
      <b/>
      <sz val="11"/>
      <color theme="1"/>
      <name val="albert sans"/>
    </font>
    <font>
      <sz val="12"/>
      <color theme="0"/>
      <name val="Calibri"/>
      <family val="2"/>
      <scheme val="minor"/>
    </font>
    <font>
      <b/>
      <sz val="11"/>
      <color rgb="FF000000"/>
      <name val="DM Serif Display"/>
    </font>
    <font>
      <b/>
      <sz val="11"/>
      <color theme="1"/>
      <name val="DM Serif Display"/>
    </font>
    <font>
      <b/>
      <sz val="11"/>
      <color rgb="FF166534"/>
      <name val="albert sans"/>
    </font>
    <font>
      <sz val="12"/>
      <color theme="0"/>
      <name val="DM Serif Display"/>
    </font>
    <font>
      <sz val="12"/>
      <color theme="1"/>
      <name val="DM Serif Display"/>
    </font>
    <font>
      <b/>
      <sz val="10"/>
      <color rgb="FF6B7280"/>
      <name val="DM Serif Display"/>
    </font>
    <font>
      <b/>
      <sz val="20"/>
      <color theme="1"/>
      <name val="albert sans"/>
    </font>
    <font>
      <b/>
      <sz val="11"/>
      <color rgb="FF006100"/>
      <name val="albert sans"/>
    </font>
    <font>
      <b/>
      <sz val="11"/>
      <color rgb="FFFFC000"/>
      <name val="albert sans"/>
    </font>
    <font>
      <b/>
      <sz val="11"/>
      <color rgb="FFC00000"/>
      <name val="albert sans"/>
    </font>
    <font>
      <u/>
      <sz val="11"/>
      <color theme="10"/>
      <name val="Calibri"/>
      <family val="2"/>
      <scheme val="minor"/>
    </font>
    <font>
      <b/>
      <sz val="24"/>
      <color rgb="FF000000"/>
      <name val="DM Serif Display"/>
      <charset val="1"/>
    </font>
    <font>
      <sz val="12"/>
      <color rgb="FF000000"/>
      <name val="Albert Sans"/>
    </font>
    <font>
      <u/>
      <sz val="12"/>
      <color rgb="FF000000"/>
      <name val="DM Serif Display"/>
    </font>
    <font>
      <sz val="10"/>
      <color rgb="FF000000"/>
      <name val="Albert Sans"/>
    </font>
    <font>
      <sz val="10"/>
      <name val="Arial"/>
    </font>
    <font>
      <u/>
      <sz val="12"/>
      <color theme="10"/>
      <name val="albert sans"/>
    </font>
    <font>
      <sz val="12"/>
      <color theme="1"/>
      <name val="albert sans"/>
    </font>
  </fonts>
  <fills count="16">
    <fill>
      <patternFill patternType="none"/>
    </fill>
    <fill>
      <patternFill patternType="gray125"/>
    </fill>
    <fill>
      <patternFill patternType="solid">
        <fgColor rgb="FF013C4A"/>
      </patternFill>
    </fill>
    <fill>
      <patternFill patternType="solid">
        <fgColor rgb="FF0A5568"/>
      </patternFill>
    </fill>
    <fill>
      <patternFill patternType="solid">
        <fgColor rgb="FF013C4A"/>
        <bgColor indexed="64"/>
      </patternFill>
    </fill>
    <fill>
      <patternFill patternType="solid">
        <fgColor rgb="FF1A3234"/>
        <bgColor indexed="64"/>
      </patternFill>
    </fill>
    <fill>
      <patternFill patternType="solid">
        <fgColor rgb="FF03D4CC"/>
        <bgColor indexed="64"/>
      </patternFill>
    </fill>
    <fill>
      <patternFill patternType="solid">
        <fgColor rgb="FF361726"/>
        <bgColor indexed="64"/>
      </patternFill>
    </fill>
    <fill>
      <patternFill patternType="solid">
        <fgColor rgb="FFEFDCBE"/>
        <bgColor indexed="64"/>
      </patternFill>
    </fill>
    <fill>
      <patternFill patternType="solid">
        <fgColor rgb="FFCDB8F0"/>
        <bgColor indexed="64"/>
      </patternFill>
    </fill>
    <fill>
      <patternFill patternType="solid">
        <fgColor rgb="FF9BEEEB"/>
        <bgColor rgb="FF9BEEEB"/>
      </patternFill>
    </fill>
    <fill>
      <patternFill patternType="solid">
        <fgColor rgb="FFFFFFFF"/>
        <bgColor rgb="FFFFFFFF"/>
      </patternFill>
    </fill>
    <fill>
      <patternFill patternType="solid">
        <fgColor rgb="FF82EBE5"/>
        <bgColor rgb="FF82EBE5"/>
      </patternFill>
    </fill>
    <fill>
      <patternFill patternType="solid">
        <fgColor rgb="FF67E5DF"/>
        <bgColor rgb="FF67E5DF"/>
      </patternFill>
    </fill>
    <fill>
      <patternFill patternType="solid">
        <fgColor rgb="FF03D4CC"/>
        <bgColor rgb="FF03D4CC"/>
      </patternFill>
    </fill>
    <fill>
      <patternFill patternType="solid">
        <fgColor rgb="FFC7D6EC"/>
        <bgColor indexed="64"/>
      </patternFill>
    </fill>
  </fills>
  <borders count="35">
    <border>
      <left/>
      <right/>
      <top/>
      <bottom/>
      <diagonal/>
    </border>
    <border>
      <left style="dotted">
        <color theme="0" tint="-0.249977111117893"/>
      </left>
      <right style="dotted">
        <color theme="0" tint="-0.249977111117893"/>
      </right>
      <top/>
      <bottom style="dotted">
        <color theme="0" tint="-0.249977111117893"/>
      </bottom>
      <diagonal/>
    </border>
    <border>
      <left style="dotted">
        <color theme="0" tint="-0.249977111117893"/>
      </left>
      <right style="dotted">
        <color theme="0" tint="-0.249977111117893"/>
      </right>
      <top style="dotted">
        <color theme="0" tint="-0.249977111117893"/>
      </top>
      <bottom style="dotted">
        <color theme="0" tint="-0.249977111117893"/>
      </bottom>
      <diagonal/>
    </border>
    <border>
      <left style="dotted">
        <color theme="0" tint="-0.249977111117893"/>
      </left>
      <right style="dotted">
        <color theme="0" tint="-0.249977111117893"/>
      </right>
      <top style="dotted">
        <color theme="0" tint="-0.249977111117893"/>
      </top>
      <bottom/>
      <diagonal/>
    </border>
    <border>
      <left style="thin">
        <color theme="1"/>
      </left>
      <right style="thin">
        <color theme="1"/>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style="dotted">
        <color theme="0" tint="-0.249977111117893"/>
      </right>
      <top/>
      <bottom style="thin">
        <color theme="1"/>
      </bottom>
      <diagonal/>
    </border>
    <border>
      <left style="dotted">
        <color theme="0" tint="-0.249977111117893"/>
      </left>
      <right style="dotted">
        <color theme="0" tint="-0.249977111117893"/>
      </right>
      <top/>
      <bottom style="thin">
        <color theme="1"/>
      </bottom>
      <diagonal/>
    </border>
    <border>
      <left style="dotted">
        <color theme="0" tint="-0.249977111117893"/>
      </left>
      <right style="thin">
        <color theme="1"/>
      </right>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theme="1"/>
      </left>
      <right style="dotted">
        <color theme="0" tint="-0.249977111117893"/>
      </right>
      <top/>
      <bottom style="dotted">
        <color theme="0" tint="-0.249977111117893"/>
      </bottom>
      <diagonal/>
    </border>
    <border>
      <left style="dotted">
        <color theme="0" tint="-0.249977111117893"/>
      </left>
      <right style="thin">
        <color theme="1"/>
      </right>
      <top/>
      <bottom style="dotted">
        <color theme="0" tint="-0.249977111117893"/>
      </bottom>
      <diagonal/>
    </border>
    <border>
      <left style="thin">
        <color theme="1"/>
      </left>
      <right style="dotted">
        <color theme="0" tint="-0.249977111117893"/>
      </right>
      <top style="dotted">
        <color theme="0" tint="-0.249977111117893"/>
      </top>
      <bottom style="dotted">
        <color theme="0" tint="-0.249977111117893"/>
      </bottom>
      <diagonal/>
    </border>
    <border>
      <left style="dotted">
        <color theme="0" tint="-0.249977111117893"/>
      </left>
      <right style="thin">
        <color theme="1"/>
      </right>
      <top style="dotted">
        <color theme="0" tint="-0.249977111117893"/>
      </top>
      <bottom style="dotted">
        <color theme="0" tint="-0.249977111117893"/>
      </bottom>
      <diagonal/>
    </border>
    <border>
      <left style="thin">
        <color theme="1"/>
      </left>
      <right style="dotted">
        <color theme="0" tint="-0.249977111117893"/>
      </right>
      <top style="dotted">
        <color theme="0" tint="-0.249977111117893"/>
      </top>
      <bottom style="thin">
        <color theme="1"/>
      </bottom>
      <diagonal/>
    </border>
    <border>
      <left style="dotted">
        <color theme="0" tint="-0.249977111117893"/>
      </left>
      <right style="dotted">
        <color theme="0" tint="-0.249977111117893"/>
      </right>
      <top style="dotted">
        <color theme="0" tint="-0.249977111117893"/>
      </top>
      <bottom style="thin">
        <color theme="1"/>
      </bottom>
      <diagonal/>
    </border>
    <border>
      <left style="dotted">
        <color theme="0" tint="-0.249977111117893"/>
      </left>
      <right style="thin">
        <color theme="1"/>
      </right>
      <top style="dotted">
        <color theme="0" tint="-0.249977111117893"/>
      </top>
      <bottom style="thin">
        <color theme="1"/>
      </bottom>
      <diagonal/>
    </border>
    <border>
      <left style="thin">
        <color theme="1"/>
      </left>
      <right/>
      <top style="thin">
        <color theme="1"/>
      </top>
      <bottom style="thin">
        <color theme="1"/>
      </bottom>
      <diagonal/>
    </border>
    <border>
      <left style="thin">
        <color theme="1"/>
      </left>
      <right/>
      <top/>
      <bottom/>
      <diagonal/>
    </border>
    <border>
      <left/>
      <right style="thin">
        <color theme="1"/>
      </right>
      <top/>
      <bottom/>
      <diagonal/>
    </border>
    <border>
      <left style="thin">
        <color theme="1"/>
      </left>
      <right style="dotted">
        <color theme="0" tint="-0.249977111117893"/>
      </right>
      <top style="dotted">
        <color theme="0" tint="-0.249977111117893"/>
      </top>
      <bottom/>
      <diagonal/>
    </border>
    <border>
      <left style="dotted">
        <color theme="0" tint="-0.249977111117893"/>
      </left>
      <right style="thin">
        <color theme="1"/>
      </right>
      <top style="dotted">
        <color theme="0" tint="-0.249977111117893"/>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rgb="FF434343"/>
      </left>
      <right style="thin">
        <color rgb="FF434343"/>
      </right>
      <top style="thin">
        <color rgb="FF434343"/>
      </top>
      <bottom style="thin">
        <color rgb="FF434343"/>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20" fillId="0" borderId="0" applyNumberFormat="0" applyFill="0" applyBorder="0" applyAlignment="0" applyProtection="0"/>
  </cellStyleXfs>
  <cellXfs count="107">
    <xf numFmtId="0" fontId="0" fillId="0" borderId="0" xfId="0"/>
    <xf numFmtId="0" fontId="4" fillId="0" borderId="0" xfId="0" applyFont="1"/>
    <xf numFmtId="0" fontId="7" fillId="0" borderId="1" xfId="0" applyFont="1" applyBorder="1" applyAlignment="1">
      <alignment horizontal="left" vertical="center" wrapText="1"/>
    </xf>
    <xf numFmtId="0" fontId="12"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0" borderId="2" xfId="0" applyFont="1" applyBorder="1" applyAlignment="1">
      <alignment horizontal="left" vertical="center" wrapText="1"/>
    </xf>
    <xf numFmtId="0" fontId="12"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2" xfId="0" applyFont="1" applyBorder="1" applyAlignment="1">
      <alignment horizontal="center" vertical="center"/>
    </xf>
    <xf numFmtId="0" fontId="7" fillId="0" borderId="2" xfId="0" applyFont="1" applyBorder="1" applyAlignment="1">
      <alignment horizontal="left" vertical="center"/>
    </xf>
    <xf numFmtId="0" fontId="7"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3" xfId="0" applyFont="1" applyBorder="1" applyAlignment="1">
      <alignment horizontal="left" vertical="center" wrapText="1"/>
    </xf>
    <xf numFmtId="0" fontId="12"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3" xfId="0" applyFont="1" applyBorder="1" applyAlignment="1">
      <alignment horizontal="center" vertical="center"/>
    </xf>
    <xf numFmtId="0" fontId="7" fillId="0" borderId="3" xfId="0" applyFont="1" applyBorder="1" applyAlignment="1">
      <alignment horizontal="left" vertical="center"/>
    </xf>
    <xf numFmtId="0" fontId="7"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1" xfId="0" applyFont="1" applyBorder="1" applyAlignment="1">
      <alignment horizontal="center" vertical="center" wrapText="1"/>
    </xf>
    <xf numFmtId="0" fontId="11" fillId="0" borderId="0" xfId="0" applyFont="1" applyAlignment="1">
      <alignment horizontal="center"/>
    </xf>
    <xf numFmtId="0" fontId="15" fillId="0" borderId="0" xfId="0" applyFont="1"/>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center" vertical="center"/>
    </xf>
    <xf numFmtId="0" fontId="13" fillId="2" borderId="4" xfId="0" applyFont="1" applyFill="1" applyBorder="1" applyAlignment="1">
      <alignment horizontal="center" vertical="center" wrapText="1"/>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3" fillId="5" borderId="10" xfId="0" applyFont="1" applyFill="1" applyBorder="1" applyAlignment="1">
      <alignment horizontal="center" vertical="center" wrapText="1"/>
    </xf>
    <xf numFmtId="0" fontId="14" fillId="8" borderId="10" xfId="0" applyFont="1" applyFill="1" applyBorder="1" applyAlignment="1">
      <alignment horizontal="center" vertical="center" wrapText="1"/>
    </xf>
    <xf numFmtId="0" fontId="14" fillId="9" borderId="10"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8" fillId="0" borderId="13" xfId="0" applyFont="1" applyBorder="1" applyAlignment="1">
      <alignment horizontal="left" vertical="center"/>
    </xf>
    <xf numFmtId="0" fontId="19" fillId="0" borderId="14" xfId="0" applyFont="1" applyBorder="1" applyAlignment="1">
      <alignment horizontal="center" vertical="center"/>
    </xf>
    <xf numFmtId="0" fontId="8" fillId="0" borderId="15" xfId="0" applyFont="1" applyBorder="1" applyAlignment="1">
      <alignment horizontal="left" vertical="center"/>
    </xf>
    <xf numFmtId="0" fontId="19" fillId="0" borderId="16" xfId="0" applyFont="1" applyBorder="1" applyAlignment="1">
      <alignment horizontal="center" vertical="center"/>
    </xf>
    <xf numFmtId="0" fontId="8" fillId="0" borderId="17" xfId="0" applyFont="1" applyBorder="1" applyAlignment="1">
      <alignment horizontal="left" vertical="center"/>
    </xf>
    <xf numFmtId="0" fontId="7" fillId="0" borderId="18" xfId="0" applyFont="1" applyBorder="1" applyAlignment="1">
      <alignment horizontal="center" vertical="center"/>
    </xf>
    <xf numFmtId="0" fontId="17" fillId="0" borderId="18" xfId="0" applyFont="1" applyBorder="1" applyAlignment="1">
      <alignment horizontal="center" vertical="center"/>
    </xf>
    <xf numFmtId="0" fontId="18" fillId="0" borderId="18" xfId="0" applyFont="1" applyBorder="1" applyAlignment="1">
      <alignment horizontal="center" vertical="center"/>
    </xf>
    <xf numFmtId="0" fontId="19" fillId="0" borderId="19" xfId="0" applyFont="1" applyBorder="1" applyAlignment="1">
      <alignment horizontal="center" vertical="center"/>
    </xf>
    <xf numFmtId="0" fontId="13" fillId="4" borderId="20" xfId="0" applyFont="1" applyFill="1" applyBorder="1" applyAlignment="1">
      <alignment horizontal="left" vertical="center"/>
    </xf>
    <xf numFmtId="0" fontId="13" fillId="4" borderId="10" xfId="0" applyFont="1" applyFill="1" applyBorder="1" applyAlignment="1">
      <alignment horizontal="center" vertical="center"/>
    </xf>
    <xf numFmtId="0" fontId="13" fillId="4" borderId="11" xfId="0" applyFont="1" applyFill="1" applyBorder="1" applyAlignment="1">
      <alignment horizontal="center" vertical="center"/>
    </xf>
    <xf numFmtId="0" fontId="8" fillId="0" borderId="13" xfId="0" applyFont="1" applyBorder="1" applyAlignment="1">
      <alignment horizontal="center" vertical="center"/>
    </xf>
    <xf numFmtId="0" fontId="7" fillId="0" borderId="14" xfId="0" applyFont="1" applyBorder="1" applyAlignment="1">
      <alignment horizontal="left" vertical="center" wrapText="1"/>
    </xf>
    <xf numFmtId="0" fontId="8" fillId="0" borderId="15" xfId="0" applyFont="1" applyBorder="1" applyAlignment="1">
      <alignment horizontal="center" vertical="center"/>
    </xf>
    <xf numFmtId="0" fontId="7" fillId="0" borderId="16" xfId="0" applyFont="1" applyBorder="1" applyAlignment="1">
      <alignment horizontal="left" vertical="center" wrapText="1"/>
    </xf>
    <xf numFmtId="0" fontId="8" fillId="0" borderId="23" xfId="0" applyFont="1" applyBorder="1" applyAlignment="1">
      <alignment horizontal="center" vertical="center"/>
    </xf>
    <xf numFmtId="0" fontId="7" fillId="0" borderId="24" xfId="0" applyFont="1" applyBorder="1" applyAlignment="1">
      <alignment horizontal="left" vertical="center" wrapText="1"/>
    </xf>
    <xf numFmtId="0" fontId="8" fillId="0" borderId="17" xfId="0" applyFont="1" applyBorder="1" applyAlignment="1">
      <alignment horizontal="center" vertical="center"/>
    </xf>
    <xf numFmtId="0" fontId="7" fillId="0" borderId="18" xfId="0" applyFont="1" applyBorder="1" applyAlignment="1">
      <alignment horizontal="left" vertical="center" wrapText="1"/>
    </xf>
    <xf numFmtId="0" fontId="7" fillId="0" borderId="18" xfId="0" applyFont="1" applyBorder="1" applyAlignment="1">
      <alignment horizontal="center" vertical="center"/>
      <extLst>
        <ext xmlns:xfpb="http://schemas.microsoft.com/office/spreadsheetml/2022/featurepropertybag" uri="{C7286773-470A-42A8-94C5-96B5CB345126}">
          <xfpb:xfComplement i="0"/>
        </ext>
      </extLst>
    </xf>
    <xf numFmtId="0" fontId="7" fillId="0" borderId="8" xfId="0" applyFont="1" applyBorder="1" applyAlignment="1">
      <alignment horizontal="center" vertical="center" wrapText="1"/>
    </xf>
    <xf numFmtId="0" fontId="7" fillId="0" borderId="18" xfId="0" applyFont="1" applyBorder="1" applyAlignment="1">
      <alignment horizontal="left" vertical="center"/>
    </xf>
    <xf numFmtId="0" fontId="7" fillId="0" borderId="19" xfId="0" applyFont="1" applyBorder="1" applyAlignment="1">
      <alignment horizontal="left" vertical="center" wrapText="1"/>
    </xf>
    <xf numFmtId="0" fontId="3" fillId="2" borderId="25" xfId="0" applyFont="1" applyFill="1" applyBorder="1" applyAlignment="1">
      <alignment horizontal="center" vertical="center"/>
    </xf>
    <xf numFmtId="0" fontId="3" fillId="2" borderId="26" xfId="0" applyFont="1" applyFill="1" applyBorder="1" applyAlignment="1">
      <alignment horizontal="center" vertical="center" wrapText="1"/>
    </xf>
    <xf numFmtId="0" fontId="3" fillId="4" borderId="26" xfId="0" applyFont="1" applyFill="1" applyBorder="1" applyAlignment="1">
      <alignment horizontal="center" vertical="center"/>
    </xf>
    <xf numFmtId="0" fontId="3" fillId="7" borderId="26" xfId="0" applyFont="1" applyFill="1" applyBorder="1" applyAlignment="1">
      <alignment horizontal="center" vertical="center" wrapText="1"/>
    </xf>
    <xf numFmtId="0" fontId="3" fillId="5" borderId="26" xfId="0" applyFont="1" applyFill="1" applyBorder="1" applyAlignment="1">
      <alignment horizontal="center" vertical="center" wrapText="1"/>
    </xf>
    <xf numFmtId="0" fontId="3" fillId="5" borderId="26" xfId="0" applyFont="1" applyFill="1" applyBorder="1" applyAlignment="1">
      <alignment horizontal="center" vertical="center"/>
    </xf>
    <xf numFmtId="0" fontId="3" fillId="5" borderId="27" xfId="0" applyFont="1" applyFill="1" applyBorder="1" applyAlignment="1">
      <alignment horizontal="center" vertical="center" wrapText="1"/>
    </xf>
    <xf numFmtId="0" fontId="23" fillId="13" borderId="28" xfId="0" applyFont="1" applyFill="1" applyBorder="1" applyAlignment="1">
      <alignment vertical="center" wrapText="1"/>
    </xf>
    <xf numFmtId="0" fontId="23" fillId="10" borderId="28" xfId="0" applyFont="1" applyFill="1" applyBorder="1" applyAlignment="1">
      <alignment vertical="center" wrapText="1"/>
    </xf>
    <xf numFmtId="0" fontId="23" fillId="12" borderId="28" xfId="0" applyFont="1" applyFill="1" applyBorder="1" applyAlignment="1">
      <alignment vertical="center" wrapText="1"/>
    </xf>
    <xf numFmtId="0" fontId="23" fillId="14" borderId="28" xfId="0" applyFont="1" applyFill="1" applyBorder="1" applyAlignment="1">
      <alignment vertical="center" wrapText="1"/>
    </xf>
    <xf numFmtId="0" fontId="11" fillId="6" borderId="21" xfId="0" applyFont="1" applyFill="1" applyBorder="1" applyAlignment="1">
      <alignment horizontal="left" vertical="center"/>
    </xf>
    <xf numFmtId="0" fontId="5" fillId="7" borderId="5" xfId="0" applyFont="1" applyFill="1" applyBorder="1" applyAlignment="1">
      <alignment horizontal="center" vertical="center"/>
    </xf>
    <xf numFmtId="0" fontId="5" fillId="4" borderId="5" xfId="0" applyFont="1" applyFill="1" applyBorder="1" applyAlignment="1">
      <alignment horizontal="center" vertical="center"/>
    </xf>
    <xf numFmtId="0" fontId="10" fillId="6" borderId="21" xfId="0" applyFont="1" applyFill="1" applyBorder="1" applyAlignment="1">
      <alignment horizontal="left" vertical="center"/>
    </xf>
    <xf numFmtId="0" fontId="5" fillId="5" borderId="5" xfId="0" applyFont="1" applyFill="1" applyBorder="1" applyAlignment="1">
      <alignment horizontal="center" vertical="center"/>
    </xf>
    <xf numFmtId="0" fontId="5" fillId="4" borderId="12" xfId="0" applyFont="1" applyFill="1" applyBorder="1" applyAlignment="1">
      <alignment horizontal="center" vertical="center"/>
    </xf>
    <xf numFmtId="0" fontId="27" fillId="15" borderId="0" xfId="1" applyFont="1" applyFill="1" applyAlignment="1">
      <alignment horizontal="center" vertical="center" wrapText="1"/>
    </xf>
    <xf numFmtId="0" fontId="26" fillId="15" borderId="0" xfId="1" applyFont="1" applyFill="1" applyAlignment="1">
      <alignment horizontal="center" vertical="center"/>
    </xf>
    <xf numFmtId="0" fontId="24" fillId="11" borderId="29" xfId="0" applyFont="1" applyFill="1" applyBorder="1" applyAlignment="1">
      <alignment vertical="center" wrapText="1"/>
    </xf>
    <xf numFmtId="0" fontId="24" fillId="11" borderId="31" xfId="0" applyFont="1" applyFill="1" applyBorder="1" applyAlignment="1">
      <alignment vertical="center" wrapText="1"/>
    </xf>
    <xf numFmtId="0" fontId="24" fillId="11" borderId="33" xfId="0" applyFont="1" applyFill="1" applyBorder="1" applyAlignment="1">
      <alignment vertical="center" wrapText="1"/>
    </xf>
    <xf numFmtId="0" fontId="21" fillId="0" borderId="0" xfId="0" applyFont="1" applyAlignment="1"/>
    <xf numFmtId="0" fontId="13" fillId="4" borderId="0" xfId="0" applyFont="1" applyFill="1" applyAlignment="1"/>
    <xf numFmtId="0" fontId="25" fillId="0" borderId="29" xfId="0" applyFont="1" applyBorder="1" applyAlignment="1"/>
    <xf numFmtId="0" fontId="25" fillId="0" borderId="30" xfId="0" applyFont="1" applyBorder="1" applyAlignment="1"/>
    <xf numFmtId="0" fontId="0" fillId="0" borderId="31" xfId="0" applyBorder="1" applyAlignment="1"/>
    <xf numFmtId="0" fontId="25" fillId="0" borderId="32" xfId="0" applyFont="1" applyBorder="1" applyAlignment="1"/>
    <xf numFmtId="0" fontId="25" fillId="0" borderId="33" xfId="0" applyFont="1" applyBorder="1" applyAlignment="1"/>
    <xf numFmtId="0" fontId="25" fillId="0" borderId="34" xfId="0" applyFont="1" applyBorder="1" applyAlignment="1"/>
    <xf numFmtId="0" fontId="1" fillId="0" borderId="0" xfId="0" applyFont="1" applyAlignment="1"/>
    <xf numFmtId="0" fontId="0" fillId="0" borderId="0" xfId="0" applyAlignment="1"/>
    <xf numFmtId="0" fontId="2" fillId="0" borderId="0" xfId="0" applyFont="1" applyAlignment="1"/>
    <xf numFmtId="0" fontId="13" fillId="4" borderId="20" xfId="0" applyFont="1" applyFill="1" applyBorder="1" applyAlignment="1"/>
    <xf numFmtId="0" fontId="13" fillId="4" borderId="10" xfId="0" applyFont="1" applyFill="1" applyBorder="1" applyAlignment="1"/>
    <xf numFmtId="0" fontId="13" fillId="4" borderId="11" xfId="0" applyFont="1" applyFill="1" applyBorder="1" applyAlignment="1"/>
    <xf numFmtId="0" fontId="7" fillId="0" borderId="13" xfId="0" applyFont="1" applyBorder="1" applyAlignment="1"/>
    <xf numFmtId="0" fontId="7" fillId="0" borderId="1" xfId="0" applyFont="1" applyBorder="1" applyAlignment="1"/>
    <xf numFmtId="0" fontId="7" fillId="0" borderId="14" xfId="0" applyFont="1" applyBorder="1" applyAlignment="1"/>
    <xf numFmtId="0" fontId="7" fillId="0" borderId="15" xfId="0" applyFont="1" applyBorder="1" applyAlignment="1"/>
    <xf numFmtId="0" fontId="7" fillId="0" borderId="2" xfId="0" applyFont="1" applyBorder="1" applyAlignment="1"/>
    <xf numFmtId="0" fontId="7" fillId="0" borderId="16" xfId="0" applyFont="1" applyBorder="1" applyAlignment="1"/>
    <xf numFmtId="0" fontId="7" fillId="0" borderId="17" xfId="0" applyFont="1" applyBorder="1" applyAlignment="1"/>
    <xf numFmtId="0" fontId="7" fillId="0" borderId="18" xfId="0" applyFont="1" applyBorder="1" applyAlignment="1"/>
    <xf numFmtId="0" fontId="7" fillId="0" borderId="19" xfId="0" applyFont="1" applyBorder="1" applyAlignment="1"/>
    <xf numFmtId="0" fontId="6" fillId="4" borderId="5" xfId="0" applyFont="1" applyFill="1" applyBorder="1" applyAlignment="1"/>
    <xf numFmtId="0" fontId="9" fillId="4" borderId="5" xfId="0" applyFont="1" applyFill="1" applyBorder="1" applyAlignment="1"/>
    <xf numFmtId="0" fontId="6" fillId="5" borderId="5" xfId="0" applyFont="1" applyFill="1" applyBorder="1" applyAlignment="1"/>
    <xf numFmtId="0" fontId="6" fillId="5" borderId="6" xfId="0" applyFont="1" applyFill="1" applyBorder="1" applyAlignment="1"/>
    <xf numFmtId="0" fontId="0" fillId="6" borderId="0" xfId="0" applyFill="1" applyAlignment="1"/>
    <xf numFmtId="0" fontId="0" fillId="6" borderId="22" xfId="0" applyFill="1" applyBorder="1" applyAlignment="1"/>
  </cellXfs>
  <cellStyles count="2">
    <cellStyle name="Hyperlink" xfId="1" builtinId="8"/>
    <cellStyle name="Normal" xfId="0" builtinId="0"/>
  </cellStyles>
  <dxfs count="160">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30322E"/>
        </patternFill>
      </fill>
    </dxf>
    <dxf>
      <font>
        <color rgb="FF03D4CC"/>
      </font>
      <fill>
        <patternFill patternType="solid">
          <bgColor rgb="FF013C4A"/>
        </patternFill>
      </fill>
    </dxf>
    <dxf>
      <font>
        <color rgb="FF03D4CC"/>
      </font>
      <fill>
        <patternFill patternType="solid">
          <bgColor rgb="FF30322E"/>
        </patternFill>
      </fill>
    </dxf>
    <dxf>
      <font>
        <color rgb="FF03D4CC"/>
      </font>
      <fill>
        <patternFill patternType="solid">
          <bgColor rgb="FF013C4A"/>
        </patternFill>
      </fill>
    </dxf>
    <dxf>
      <font>
        <color rgb="FF03D4CC"/>
      </font>
      <fill>
        <patternFill patternType="solid">
          <bgColor rgb="FF30322E"/>
        </patternFill>
      </fill>
    </dxf>
    <dxf>
      <font>
        <color rgb="FF03D4CC"/>
      </font>
      <fill>
        <patternFill patternType="solid">
          <bgColor rgb="FF013C4A"/>
        </patternFill>
      </fill>
    </dxf>
    <dxf>
      <font>
        <color rgb="FF03D4CC"/>
      </font>
      <fill>
        <patternFill patternType="solid">
          <bgColor rgb="FF30322E"/>
        </patternFill>
      </fill>
    </dxf>
    <dxf>
      <font>
        <color rgb="FF03D4CC"/>
      </font>
      <fill>
        <patternFill patternType="solid">
          <bgColor rgb="FF013C4A"/>
        </patternFill>
      </fill>
    </dxf>
    <dxf>
      <font>
        <color rgb="FF03D4CC"/>
      </font>
      <fill>
        <patternFill patternType="solid">
          <bgColor rgb="FF30322E"/>
        </patternFill>
      </fill>
    </dxf>
    <dxf>
      <font>
        <color rgb="FF03D4CC"/>
      </font>
      <fill>
        <patternFill patternType="solid">
          <bgColor rgb="FF013C4A"/>
        </patternFill>
      </fill>
    </dxf>
    <dxf>
      <font>
        <color rgb="FF03D4CC"/>
      </font>
      <fill>
        <patternFill patternType="solid">
          <bgColor rgb="FF30322E"/>
        </patternFill>
      </fill>
    </dxf>
    <dxf>
      <font>
        <color rgb="FF03D4CC"/>
      </font>
      <fill>
        <patternFill patternType="solid">
          <bgColor rgb="FF013C4A"/>
        </patternFill>
      </fill>
    </dxf>
    <dxf>
      <font>
        <color rgb="FF03D4CC"/>
      </font>
      <fill>
        <patternFill patternType="solid">
          <bgColor rgb="FF30322E"/>
        </patternFill>
      </fill>
    </dxf>
    <dxf>
      <font>
        <color rgb="FF03D4CC"/>
      </font>
      <fill>
        <patternFill patternType="solid">
          <bgColor rgb="FF013C4A"/>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sz val="11"/>
        <color rgb="FFFFFFFF"/>
        <name val="Calibri"/>
      </font>
      <fill>
        <patternFill patternType="solid">
          <fgColor rgb="FF16A34A"/>
        </patternFill>
      </fill>
    </dxf>
    <dxf>
      <font>
        <b/>
        <sz val="11"/>
        <color rgb="FFFFFFFF"/>
        <name val="Calibri"/>
      </font>
      <fill>
        <patternFill patternType="solid">
          <fgColor rgb="FF22C55E"/>
        </patternFill>
      </fill>
    </dxf>
    <dxf>
      <font>
        <b/>
        <sz val="11"/>
        <color rgb="FFFFFFFF"/>
        <name val="Calibri"/>
      </font>
      <fill>
        <patternFill patternType="solid">
          <fgColor rgb="FFEAB308"/>
        </patternFill>
      </fill>
    </dxf>
    <dxf>
      <font>
        <b/>
        <sz val="11"/>
        <color rgb="FFFFFFFF"/>
        <name val="Calibri"/>
      </font>
      <fill>
        <patternFill patternType="solid">
          <fgColor rgb="FFF97316"/>
        </patternFill>
      </fill>
    </dxf>
    <dxf>
      <font>
        <b/>
        <sz val="11"/>
        <color rgb="FFFFFFFF"/>
        <name val="Calibri"/>
      </font>
      <fill>
        <patternFill patternType="solid">
          <fgColor rgb="FFEF4444"/>
        </patternFill>
      </fill>
    </dxf>
    <dxf>
      <font>
        <b/>
        <i val="0"/>
        <color theme="1"/>
      </font>
      <fill>
        <patternFill patternType="solid">
          <bgColor rgb="FFCDB8F0"/>
        </patternFill>
      </fill>
    </dxf>
    <dxf>
      <font>
        <b/>
        <i val="0"/>
        <color theme="1"/>
      </font>
      <fill>
        <patternFill patternType="solid">
          <bgColor rgb="FFEFDCBE"/>
        </patternFill>
      </fill>
    </dxf>
    <dxf>
      <font>
        <b/>
        <i val="0"/>
        <color theme="0"/>
      </font>
      <fill>
        <patternFill patternType="solid">
          <bgColor rgb="FF1A3234"/>
        </patternFill>
      </fill>
    </dxf>
  </dxfs>
  <tableStyles count="0" defaultTableStyle="TableStyleMedium9" defaultPivotStyle="PivotStyleLight16"/>
  <colors>
    <mruColors>
      <color rgb="FFC7D6EC"/>
      <color rgb="FFFFEB9C"/>
      <color rgb="FF006100"/>
      <color rgb="FF013C4A"/>
      <color rgb="FFCDB8F0"/>
      <color rgb="FFEFDCBE"/>
      <color rgb="FF1A3234"/>
      <color rgb="FF30322E"/>
      <color rgb="FF03D4CC"/>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CFC1148E-4DF8-4B1E-9F4F-196D2A3C1917}"/>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xfrm>
          <a:off x="0" y="0"/>
          <a:ext cx="381000" cy="3810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3113B433-9B9E-446F-AC46-B619B274D981}"/>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xfrm>
          <a:off x="0" y="0"/>
          <a:ext cx="381000" cy="38100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0</xdr:rowOff>
    </xdr:to>
    <xdr:pic>
      <xdr:nvPicPr>
        <xdr:cNvPr id="2" name="Picture 1">
          <a:extLst>
            <a:ext uri="{FF2B5EF4-FFF2-40B4-BE49-F238E27FC236}">
              <a16:creationId xmlns:a16="http://schemas.microsoft.com/office/drawing/2014/main" id="{069FA1AD-6EE9-4AFF-A264-8663C6E234ED}"/>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xfrm>
          <a:off x="0" y="0"/>
          <a:ext cx="381000" cy="381000"/>
        </a:xfrm>
        <a:prstGeom prst="rect">
          <a:avLst/>
        </a:prstGeom>
        <a:noFill/>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oopio.com/dem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E5A6-7FE4-41EB-890C-F133622CC65B}">
  <dimension ref="B1:M11"/>
  <sheetViews>
    <sheetView workbookViewId="0">
      <selection activeCell="L7" sqref="L7"/>
    </sheetView>
  </sheetViews>
  <sheetFormatPr defaultRowHeight="15"/>
  <cols>
    <col min="1" max="1" width="5.7109375" customWidth="1"/>
    <col min="2" max="2" width="21.42578125" customWidth="1"/>
    <col min="3" max="8" width="12.5703125" customWidth="1"/>
  </cols>
  <sheetData>
    <row r="1" spans="2:13" ht="30" customHeight="1">
      <c r="B1" s="78" t="s">
        <v>0</v>
      </c>
      <c r="C1" s="78"/>
      <c r="D1" s="78"/>
      <c r="E1" s="78"/>
      <c r="F1" s="78"/>
      <c r="G1" s="78"/>
      <c r="H1" s="78"/>
      <c r="I1" s="78"/>
      <c r="J1" s="78"/>
      <c r="K1" s="78"/>
      <c r="L1" s="78"/>
      <c r="M1" s="78"/>
    </row>
    <row r="4" spans="2:13" ht="18">
      <c r="B4" s="79" t="s">
        <v>1</v>
      </c>
      <c r="C4" s="79"/>
      <c r="D4" s="79"/>
      <c r="E4" s="79"/>
      <c r="F4" s="79"/>
      <c r="G4" s="79"/>
      <c r="H4" s="79"/>
    </row>
    <row r="5" spans="2:13" ht="53.25" customHeight="1">
      <c r="B5" s="64" t="s">
        <v>2</v>
      </c>
      <c r="C5" s="75" t="s">
        <v>3</v>
      </c>
      <c r="D5" s="80"/>
      <c r="E5" s="80"/>
      <c r="F5" s="80"/>
      <c r="G5" s="80"/>
      <c r="H5" s="81"/>
    </row>
    <row r="6" spans="2:13" ht="53.25" customHeight="1">
      <c r="B6" s="65" t="s">
        <v>4</v>
      </c>
      <c r="C6" s="75" t="s">
        <v>5</v>
      </c>
      <c r="D6" s="80"/>
      <c r="E6" s="80"/>
      <c r="F6" s="80"/>
      <c r="G6" s="80"/>
      <c r="H6" s="81"/>
    </row>
    <row r="7" spans="2:13" ht="53.25" customHeight="1">
      <c r="B7" s="63" t="s">
        <v>6</v>
      </c>
      <c r="C7" s="76" t="s">
        <v>7</v>
      </c>
      <c r="D7" s="82"/>
      <c r="E7" s="82"/>
      <c r="F7" s="82"/>
      <c r="G7" s="82"/>
      <c r="H7" s="83"/>
    </row>
    <row r="8" spans="2:13" ht="53.25" customHeight="1">
      <c r="B8" s="66" t="s">
        <v>8</v>
      </c>
      <c r="C8" s="77" t="s">
        <v>9</v>
      </c>
      <c r="D8" s="84"/>
      <c r="E8" s="84"/>
      <c r="F8" s="84"/>
      <c r="G8" s="84"/>
      <c r="H8" s="85"/>
    </row>
    <row r="10" spans="2:13" ht="37.5" customHeight="1">
      <c r="B10" s="73" t="s">
        <v>10</v>
      </c>
      <c r="C10" s="73"/>
      <c r="D10" s="73"/>
      <c r="E10" s="73"/>
      <c r="F10" s="73"/>
      <c r="G10" s="73"/>
      <c r="H10" s="73"/>
    </row>
    <row r="11" spans="2:13" ht="37.5" customHeight="1">
      <c r="B11" s="74" t="s">
        <v>11</v>
      </c>
      <c r="C11" s="74"/>
      <c r="D11" s="74"/>
      <c r="E11" s="74"/>
      <c r="F11" s="74"/>
      <c r="G11" s="74"/>
      <c r="H11" s="74"/>
    </row>
  </sheetData>
  <mergeCells count="8">
    <mergeCell ref="B10:H10"/>
    <mergeCell ref="B11:H11"/>
    <mergeCell ref="B1:M1"/>
    <mergeCell ref="B4:H4"/>
    <mergeCell ref="C5:H5"/>
    <mergeCell ref="C6:H6"/>
    <mergeCell ref="C7:H7"/>
    <mergeCell ref="C8:H8"/>
  </mergeCells>
  <hyperlinks>
    <hyperlink ref="B11:H11" r:id="rId1" display="Book a Demo" xr:uid="{0F0A173C-1250-400B-BC86-67D8DF67252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2"/>
  <sheetViews>
    <sheetView showGridLines="0" workbookViewId="0">
      <selection activeCell="Q10" sqref="Q10"/>
    </sheetView>
  </sheetViews>
  <sheetFormatPr defaultRowHeight="15"/>
  <cols>
    <col min="1" max="1" width="5.7109375" customWidth="1"/>
    <col min="2" max="2" width="28" customWidth="1"/>
    <col min="3" max="6" width="16" customWidth="1"/>
  </cols>
  <sheetData>
    <row r="1" spans="2:6" ht="30" customHeight="1">
      <c r="B1" s="86" t="s">
        <v>12</v>
      </c>
      <c r="C1" s="87"/>
      <c r="D1" s="87"/>
      <c r="E1" s="87"/>
      <c r="F1" s="87"/>
    </row>
    <row r="3" spans="2:6" ht="15.95" customHeight="1">
      <c r="B3" s="88" t="s">
        <v>13</v>
      </c>
      <c r="C3" s="87"/>
      <c r="D3" s="87"/>
      <c r="E3" s="87"/>
      <c r="F3" s="87"/>
    </row>
    <row r="5" spans="2:6" ht="12.95" customHeight="1">
      <c r="B5" s="19" t="s">
        <v>14</v>
      </c>
    </row>
    <row r="6" spans="2:6" ht="20.100000000000001" customHeight="1">
      <c r="B6" s="24" t="s">
        <v>15</v>
      </c>
      <c r="C6" s="28" t="s">
        <v>16</v>
      </c>
      <c r="D6" s="29" t="s">
        <v>17</v>
      </c>
      <c r="E6" s="30" t="s">
        <v>18</v>
      </c>
      <c r="F6" s="31" t="s">
        <v>19</v>
      </c>
    </row>
    <row r="7" spans="2:6" ht="36" customHeight="1">
      <c r="B7" s="25">
        <f>COUNTIFS('Your Draft'!D:D, "&lt;&gt;", 'Your Draft'!D:D, "&lt;&gt;Question")</f>
        <v>142</v>
      </c>
      <c r="C7" s="26">
        <f>COUNTIF('Your Draft'!L:L, "*Approved")</f>
        <v>0</v>
      </c>
      <c r="D7" s="26">
        <f>COUNTIF('Your Draft'!L:L, "*Draft")</f>
        <v>0</v>
      </c>
      <c r="E7" s="26">
        <f>COUNTIF('Your Draft'!L:L, "*Needs Update")</f>
        <v>0</v>
      </c>
      <c r="F7" s="27">
        <f>IFERROR(AVERAGE('Your Draft'!M:M), 0)</f>
        <v>0</v>
      </c>
    </row>
    <row r="10" spans="2:6" ht="12.95" customHeight="1">
      <c r="B10" s="19" t="s">
        <v>20</v>
      </c>
    </row>
    <row r="11" spans="2:6" ht="18" customHeight="1">
      <c r="B11" s="41" t="s">
        <v>21</v>
      </c>
      <c r="C11" s="42" t="s">
        <v>22</v>
      </c>
      <c r="D11" s="42" t="s">
        <v>23</v>
      </c>
      <c r="E11" s="42" t="s">
        <v>24</v>
      </c>
      <c r="F11" s="43" t="s">
        <v>25</v>
      </c>
    </row>
    <row r="12" spans="2:6" ht="15.95" customHeight="1">
      <c r="B12" s="32" t="s">
        <v>26</v>
      </c>
      <c r="C12" s="4">
        <f>COUNTIF('Your Draft'!C:C, "*Governance &amp; Risk")</f>
        <v>10</v>
      </c>
      <c r="D12" s="20">
        <f>COUNTIF('Your Draft'!H14:H23, "*Yes")</f>
        <v>0</v>
      </c>
      <c r="E12" s="21">
        <f>COUNTIF('Your Draft'!H14:H23, "*Partial")</f>
        <v>0</v>
      </c>
      <c r="F12" s="33">
        <f>COUNTIF('Your Draft'!H14:H23, "*No")</f>
        <v>0</v>
      </c>
    </row>
    <row r="13" spans="2:6" ht="15.95" customHeight="1">
      <c r="B13" s="34" t="s">
        <v>27</v>
      </c>
      <c r="C13" s="8">
        <f>COUNTIF('Your Draft'!C:C, "*Asset Management")</f>
        <v>5</v>
      </c>
      <c r="D13" s="22">
        <f>COUNTIF('Your Draft'!H25:H29, "*Yes")</f>
        <v>0</v>
      </c>
      <c r="E13" s="23">
        <f>COUNTIF('Your Draft'!H25:H29, "*Partial")</f>
        <v>0</v>
      </c>
      <c r="F13" s="35">
        <f>COUNTIF('Your Draft'!H25:H29, "*No")</f>
        <v>0</v>
      </c>
    </row>
    <row r="14" spans="2:6" ht="15.95" customHeight="1">
      <c r="B14" s="34" t="s">
        <v>28</v>
      </c>
      <c r="C14" s="8">
        <f>COUNTIF('Your Draft'!C:C, "*Access Control &amp; Identity")</f>
        <v>16</v>
      </c>
      <c r="D14" s="22">
        <f>COUNTIF('Your Draft'!H31:H46, "*Yes")</f>
        <v>0</v>
      </c>
      <c r="E14" s="23">
        <f>COUNTIF('Your Draft'!H31:H46, "*Partial")</f>
        <v>0</v>
      </c>
      <c r="F14" s="35">
        <f>COUNTIF('Your Draft'!H31:H46, "*No")</f>
        <v>0</v>
      </c>
    </row>
    <row r="15" spans="2:6" ht="15.95" customHeight="1">
      <c r="B15" s="34" t="s">
        <v>29</v>
      </c>
      <c r="C15" s="8">
        <f>COUNTIF('Your Draft'!C:C, "*Data Security &amp; Encryption")</f>
        <v>18</v>
      </c>
      <c r="D15" s="22">
        <f>COUNTIF('Your Draft'!H48:H65, "*Yes")</f>
        <v>0</v>
      </c>
      <c r="E15" s="23">
        <f>COUNTIF('Your Draft'!H48:H65, "*Partial")</f>
        <v>0</v>
      </c>
      <c r="F15" s="35">
        <f>COUNTIF('Your Draft'!H48:H65, "*No")</f>
        <v>0</v>
      </c>
    </row>
    <row r="16" spans="2:6" ht="15.95" customHeight="1">
      <c r="B16" s="34" t="s">
        <v>30</v>
      </c>
      <c r="C16" s="8">
        <f>COUNTIF('Your Draft'!C:C, "*Application Security")</f>
        <v>13</v>
      </c>
      <c r="D16" s="22">
        <f>COUNTIF('Your Draft'!H67:H79, "*Yes")</f>
        <v>0</v>
      </c>
      <c r="E16" s="23">
        <f>COUNTIF('Your Draft'!H67:H79, "*Partial")</f>
        <v>0</v>
      </c>
      <c r="F16" s="35">
        <f>COUNTIF('Your Draft'!H67:H79, "*No")</f>
        <v>0</v>
      </c>
    </row>
    <row r="17" spans="2:6" ht="15.95" customHeight="1">
      <c r="B17" s="34" t="s">
        <v>31</v>
      </c>
      <c r="C17" s="8">
        <f>COUNTIF('Your Draft'!C:C, "*Network &amp; Infrastructure")</f>
        <v>22</v>
      </c>
      <c r="D17" s="22">
        <f>COUNTIF('Your Draft'!H81:H102, "*Yes")</f>
        <v>0</v>
      </c>
      <c r="E17" s="23">
        <f>COUNTIF('Your Draft'!H81:H102, "*Partial")</f>
        <v>0</v>
      </c>
      <c r="F17" s="35">
        <f>COUNTIF('Your Draft'!H81:H102, "*No")</f>
        <v>0</v>
      </c>
    </row>
    <row r="18" spans="2:6" ht="15.95" customHeight="1">
      <c r="B18" s="34" t="s">
        <v>32</v>
      </c>
      <c r="C18" s="8">
        <f>COUNTIF('Your Draft'!C:C, "*Monitoring &amp; Logging")</f>
        <v>10</v>
      </c>
      <c r="D18" s="22">
        <f>COUNTIF('Your Draft'!H104:H113, "*Yes")</f>
        <v>0</v>
      </c>
      <c r="E18" s="23">
        <f>COUNTIF('Your Draft'!H104:H113, "*Partial")</f>
        <v>0</v>
      </c>
      <c r="F18" s="35">
        <f>COUNTIF('Your Draft'!H104:H113, "*No")</f>
        <v>0</v>
      </c>
    </row>
    <row r="19" spans="2:6" ht="15.95" customHeight="1">
      <c r="B19" s="34" t="s">
        <v>33</v>
      </c>
      <c r="C19" s="8">
        <f>COUNTIF('Your Draft'!C:C, "*Incident Response")</f>
        <v>10</v>
      </c>
      <c r="D19" s="22">
        <f>COUNTIF('Your Draft'!H115:H124, "*Yes")</f>
        <v>0</v>
      </c>
      <c r="E19" s="23">
        <f>COUNTIF('Your Draft'!H115:H124, "*Partial")</f>
        <v>0</v>
      </c>
      <c r="F19" s="35">
        <f>COUNTIF('Your Draft'!H115:H124, "*No")</f>
        <v>0</v>
      </c>
    </row>
    <row r="20" spans="2:6" ht="15.95" customHeight="1">
      <c r="B20" s="34" t="s">
        <v>34</v>
      </c>
      <c r="C20" s="8">
        <f>COUNTIF('Your Draft'!C:C, "*Business Continuity")</f>
        <v>10</v>
      </c>
      <c r="D20" s="22">
        <f>COUNTIF('Your Draft'!H126:H135, "*Yes")</f>
        <v>0</v>
      </c>
      <c r="E20" s="23">
        <f>COUNTIF('Your Draft'!H126:H135, "*Partial")</f>
        <v>0</v>
      </c>
      <c r="F20" s="35">
        <f>COUNTIF('Your Draft'!H126:H135, "*No")</f>
        <v>0</v>
      </c>
    </row>
    <row r="21" spans="2:6" ht="15.95" customHeight="1">
      <c r="B21" s="34" t="s">
        <v>35</v>
      </c>
      <c r="C21" s="8">
        <f>COUNTIF('Your Draft'!C:C, "*Physical Security")</f>
        <v>5</v>
      </c>
      <c r="D21" s="22">
        <f>COUNTIF('Your Draft'!H137:H141, "*Yes")</f>
        <v>0</v>
      </c>
      <c r="E21" s="23">
        <f>COUNTIF('Your Draft'!H137:H141, "*Partial")</f>
        <v>0</v>
      </c>
      <c r="F21" s="35">
        <f>COUNTIF('Your Draft'!H137:H141, "*No")</f>
        <v>0</v>
      </c>
    </row>
    <row r="22" spans="2:6" ht="15.95" customHeight="1">
      <c r="B22" s="34" t="s">
        <v>36</v>
      </c>
      <c r="C22" s="8">
        <f>COUNTIF('Your Draft'!C:C, "*Third-Party &amp; Supply Chain")</f>
        <v>14</v>
      </c>
      <c r="D22" s="22">
        <f>COUNTIF('Your Draft'!H143:H156, "*Yes")</f>
        <v>0</v>
      </c>
      <c r="E22" s="23">
        <f>COUNTIF('Your Draft'!H143:H156, "*Partial")</f>
        <v>0</v>
      </c>
      <c r="F22" s="35">
        <f>COUNTIF('Your Draft'!H143:H156, "*No")</f>
        <v>0</v>
      </c>
    </row>
    <row r="23" spans="2:6" ht="15.95" customHeight="1">
      <c r="B23" s="34" t="s">
        <v>37</v>
      </c>
      <c r="C23" s="8">
        <f>COUNTIF('Your Draft'!C:C, "*Employee &amp; HR Controls")</f>
        <v>4</v>
      </c>
      <c r="D23" s="22">
        <f>COUNTIF('Your Draft'!H158:H161, "*Yes")</f>
        <v>0</v>
      </c>
      <c r="E23" s="23">
        <f>COUNTIF('Your Draft'!H158:H161, "*Partial")</f>
        <v>0</v>
      </c>
      <c r="F23" s="35">
        <f>COUNTIF('Your Draft'!H158:H161, "*No")</f>
        <v>0</v>
      </c>
    </row>
    <row r="24" spans="2:6" ht="15.95" customHeight="1">
      <c r="B24" s="36" t="s">
        <v>38</v>
      </c>
      <c r="C24" s="37">
        <f>COUNTIF('Your Draft'!C:C, "*Compliance &amp; Certifications")</f>
        <v>5</v>
      </c>
      <c r="D24" s="38">
        <f>COUNTIF('Your Draft'!H163:H167, "*Yes")</f>
        <v>0</v>
      </c>
      <c r="E24" s="39">
        <f>COUNTIF('Your Draft'!H163:H167, "*Partial")</f>
        <v>0</v>
      </c>
      <c r="F24" s="40">
        <f>COUNTIF('Your Draft'!H163:H167, "*No")</f>
        <v>0</v>
      </c>
    </row>
    <row r="27" spans="2:6">
      <c r="B27" s="1"/>
    </row>
    <row r="28" spans="2:6" ht="15.95" customHeight="1">
      <c r="B28" s="88"/>
      <c r="C28" s="87"/>
      <c r="D28" s="87"/>
      <c r="E28" s="87"/>
      <c r="F28" s="87"/>
    </row>
    <row r="29" spans="2:6" ht="15.95" customHeight="1">
      <c r="B29" s="88"/>
      <c r="C29" s="87"/>
      <c r="D29" s="87"/>
      <c r="E29" s="87"/>
      <c r="F29" s="87"/>
    </row>
    <row r="30" spans="2:6" ht="15.95" customHeight="1">
      <c r="B30" s="88"/>
      <c r="C30" s="87"/>
      <c r="D30" s="87"/>
      <c r="E30" s="87"/>
      <c r="F30" s="87"/>
    </row>
    <row r="31" spans="2:6" ht="15.95" customHeight="1">
      <c r="B31" s="88"/>
      <c r="C31" s="87"/>
      <c r="D31" s="87"/>
      <c r="E31" s="87"/>
      <c r="F31" s="87"/>
    </row>
    <row r="32" spans="2:6" ht="15.95" customHeight="1">
      <c r="B32" s="88"/>
      <c r="C32" s="87"/>
      <c r="D32" s="87"/>
      <c r="E32" s="87"/>
      <c r="F32" s="87"/>
    </row>
  </sheetData>
  <mergeCells count="7">
    <mergeCell ref="B32:F32"/>
    <mergeCell ref="B1:F1"/>
    <mergeCell ref="B31:F31"/>
    <mergeCell ref="B30:F30"/>
    <mergeCell ref="B29:F29"/>
    <mergeCell ref="B3:F3"/>
    <mergeCell ref="B28:F28"/>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67"/>
  <sheetViews>
    <sheetView showGridLines="0" tabSelected="1" workbookViewId="0">
      <selection activeCell="K7" sqref="K7"/>
    </sheetView>
  </sheetViews>
  <sheetFormatPr defaultRowHeight="15"/>
  <cols>
    <col min="1" max="1" width="5.7109375" customWidth="1"/>
    <col min="2" max="2" width="8" customWidth="1"/>
    <col min="3" max="3" width="24" customWidth="1"/>
    <col min="4" max="4" width="52" customWidth="1"/>
    <col min="5" max="7" width="9" customWidth="1"/>
    <col min="8" max="8" width="16.28515625" customWidth="1"/>
    <col min="9" max="9" width="49.5703125" customWidth="1"/>
    <col min="10" max="10" width="42" customWidth="1"/>
    <col min="11" max="11" width="18" customWidth="1"/>
    <col min="12" max="12" width="14" customWidth="1"/>
    <col min="13" max="13" width="13.5703125" customWidth="1"/>
    <col min="14" max="15" width="14.7109375" customWidth="1"/>
    <col min="16" max="16" width="38" customWidth="1"/>
  </cols>
  <sheetData>
    <row r="1" spans="2:16" ht="30" customHeight="1">
      <c r="B1" s="86" t="s">
        <v>39</v>
      </c>
      <c r="C1" s="86"/>
      <c r="D1" s="86"/>
      <c r="E1" s="86"/>
      <c r="F1" s="86"/>
      <c r="G1" s="86"/>
      <c r="H1" s="86"/>
    </row>
    <row r="4" spans="2:16" ht="18">
      <c r="B4" s="89" t="s">
        <v>40</v>
      </c>
      <c r="C4" s="90"/>
      <c r="D4" s="91"/>
    </row>
    <row r="5" spans="2:16">
      <c r="B5" s="92" t="s">
        <v>41</v>
      </c>
      <c r="C5" s="93"/>
      <c r="D5" s="94"/>
    </row>
    <row r="6" spans="2:16">
      <c r="B6" s="95" t="s">
        <v>42</v>
      </c>
      <c r="C6" s="96"/>
      <c r="D6" s="97"/>
    </row>
    <row r="7" spans="2:16">
      <c r="B7" s="95" t="s">
        <v>43</v>
      </c>
      <c r="C7" s="96"/>
      <c r="D7" s="97"/>
    </row>
    <row r="8" spans="2:16">
      <c r="B8" s="98" t="s">
        <v>44</v>
      </c>
      <c r="C8" s="99"/>
      <c r="D8" s="100"/>
    </row>
    <row r="11" spans="2:16" ht="14.1" customHeight="1">
      <c r="B11" s="72" t="s">
        <v>45</v>
      </c>
      <c r="C11" s="101"/>
      <c r="D11" s="101"/>
      <c r="E11" s="69" t="s">
        <v>46</v>
      </c>
      <c r="F11" s="102"/>
      <c r="G11" s="102"/>
      <c r="H11" s="68" t="s">
        <v>47</v>
      </c>
      <c r="I11" s="68"/>
      <c r="J11" s="68"/>
      <c r="K11" s="71" t="s">
        <v>48</v>
      </c>
      <c r="L11" s="103"/>
      <c r="M11" s="103"/>
      <c r="N11" s="103"/>
      <c r="O11" s="103"/>
      <c r="P11" s="104"/>
    </row>
    <row r="12" spans="2:16" s="18" customFormat="1" ht="27.95" customHeight="1">
      <c r="B12" s="56" t="s">
        <v>49</v>
      </c>
      <c r="C12" s="57" t="s">
        <v>21</v>
      </c>
      <c r="D12" s="57" t="s">
        <v>50</v>
      </c>
      <c r="E12" s="58" t="s">
        <v>51</v>
      </c>
      <c r="F12" s="58" t="s">
        <v>52</v>
      </c>
      <c r="G12" s="58" t="s">
        <v>53</v>
      </c>
      <c r="H12" s="59" t="s">
        <v>54</v>
      </c>
      <c r="I12" s="59" t="s">
        <v>55</v>
      </c>
      <c r="J12" s="59" t="s">
        <v>56</v>
      </c>
      <c r="K12" s="60" t="s">
        <v>57</v>
      </c>
      <c r="L12" s="60" t="s">
        <v>58</v>
      </c>
      <c r="M12" s="61" t="s">
        <v>59</v>
      </c>
      <c r="N12" s="60" t="s">
        <v>60</v>
      </c>
      <c r="O12" s="60" t="s">
        <v>61</v>
      </c>
      <c r="P12" s="62" t="s">
        <v>62</v>
      </c>
    </row>
    <row r="13" spans="2:16" ht="15.95" customHeight="1">
      <c r="B13" s="70" t="s">
        <v>63</v>
      </c>
      <c r="C13" s="105"/>
      <c r="D13" s="105"/>
      <c r="E13" s="105"/>
      <c r="F13" s="105"/>
      <c r="G13" s="105"/>
      <c r="H13" s="105"/>
      <c r="I13" s="105"/>
      <c r="J13" s="105"/>
      <c r="K13" s="105"/>
      <c r="L13" s="105"/>
      <c r="M13" s="105"/>
      <c r="N13" s="105"/>
      <c r="O13" s="105"/>
      <c r="P13" s="106"/>
    </row>
    <row r="14" spans="2:16" ht="27.95" customHeight="1">
      <c r="B14" s="44">
        <v>1</v>
      </c>
      <c r="C14" s="2" t="s">
        <v>26</v>
      </c>
      <c r="D14" s="2" t="s">
        <v>64</v>
      </c>
      <c r="E14" s="3" t="b">
        <v>1</v>
      </c>
      <c r="F14" s="11" t="b">
        <v>0</v>
      </c>
      <c r="G14" s="11" t="b">
        <v>1</v>
      </c>
      <c r="H14" s="17"/>
      <c r="I14" s="5"/>
      <c r="J14" s="2"/>
      <c r="K14" s="5"/>
      <c r="L14" s="4"/>
      <c r="M14" s="4"/>
      <c r="N14" s="4"/>
      <c r="O14" s="4"/>
      <c r="P14" s="45"/>
    </row>
    <row r="15" spans="2:16" ht="27.95" customHeight="1">
      <c r="B15" s="46">
        <v>2</v>
      </c>
      <c r="C15" s="6" t="s">
        <v>26</v>
      </c>
      <c r="D15" s="6" t="s">
        <v>65</v>
      </c>
      <c r="E15" s="7" t="b">
        <v>1</v>
      </c>
      <c r="F15" s="10" t="b">
        <v>0</v>
      </c>
      <c r="G15" s="10" t="b">
        <v>1</v>
      </c>
      <c r="H15" s="17"/>
      <c r="I15" s="9"/>
      <c r="J15" s="6"/>
      <c r="K15" s="9"/>
      <c r="L15" s="8"/>
      <c r="M15" s="8"/>
      <c r="N15" s="8"/>
      <c r="O15" s="8"/>
      <c r="P15" s="47"/>
    </row>
    <row r="16" spans="2:16" ht="27.95" customHeight="1">
      <c r="B16" s="46">
        <v>3</v>
      </c>
      <c r="C16" s="6" t="s">
        <v>26</v>
      </c>
      <c r="D16" s="6" t="s">
        <v>66</v>
      </c>
      <c r="E16" s="7" t="b">
        <v>1</v>
      </c>
      <c r="F16" s="10" t="b">
        <v>0</v>
      </c>
      <c r="G16" s="10" t="b">
        <v>1</v>
      </c>
      <c r="H16" s="17"/>
      <c r="I16" s="9"/>
      <c r="J16" s="6"/>
      <c r="K16" s="9"/>
      <c r="L16" s="8"/>
      <c r="M16" s="8"/>
      <c r="N16" s="8"/>
      <c r="O16" s="8"/>
      <c r="P16" s="47"/>
    </row>
    <row r="17" spans="2:16" ht="27.95" customHeight="1">
      <c r="B17" s="46">
        <v>4</v>
      </c>
      <c r="C17" s="6" t="s">
        <v>26</v>
      </c>
      <c r="D17" s="6" t="s">
        <v>67</v>
      </c>
      <c r="E17" s="7" t="b">
        <v>1</v>
      </c>
      <c r="F17" s="10" t="b">
        <v>0</v>
      </c>
      <c r="G17" s="10" t="b">
        <v>1</v>
      </c>
      <c r="H17" s="17"/>
      <c r="I17" s="9"/>
      <c r="J17" s="6"/>
      <c r="K17" s="9"/>
      <c r="L17" s="8"/>
      <c r="M17" s="8"/>
      <c r="N17" s="8"/>
      <c r="O17" s="8"/>
      <c r="P17" s="47"/>
    </row>
    <row r="18" spans="2:16" ht="27.95" customHeight="1">
      <c r="B18" s="46">
        <v>5</v>
      </c>
      <c r="C18" s="6" t="s">
        <v>26</v>
      </c>
      <c r="D18" s="6" t="s">
        <v>68</v>
      </c>
      <c r="E18" s="7" t="b">
        <v>1</v>
      </c>
      <c r="F18" s="10" t="b">
        <v>0</v>
      </c>
      <c r="G18" s="10" t="b">
        <v>1</v>
      </c>
      <c r="H18" s="17"/>
      <c r="I18" s="9"/>
      <c r="J18" s="6"/>
      <c r="K18" s="9"/>
      <c r="L18" s="8"/>
      <c r="M18" s="8"/>
      <c r="N18" s="8"/>
      <c r="O18" s="8"/>
      <c r="P18" s="47"/>
    </row>
    <row r="19" spans="2:16" ht="27.95" customHeight="1">
      <c r="B19" s="46">
        <v>6</v>
      </c>
      <c r="C19" s="6" t="s">
        <v>26</v>
      </c>
      <c r="D19" s="6" t="s">
        <v>69</v>
      </c>
      <c r="E19" s="7" t="b">
        <v>1</v>
      </c>
      <c r="F19" s="10" t="b">
        <v>0</v>
      </c>
      <c r="G19" s="10" t="b">
        <v>1</v>
      </c>
      <c r="H19" s="17"/>
      <c r="I19" s="9"/>
      <c r="J19" s="6"/>
      <c r="K19" s="9"/>
      <c r="L19" s="4"/>
      <c r="M19" s="8"/>
      <c r="N19" s="8"/>
      <c r="O19" s="8"/>
      <c r="P19" s="47"/>
    </row>
    <row r="20" spans="2:16" ht="27.95" customHeight="1">
      <c r="B20" s="46">
        <v>7</v>
      </c>
      <c r="C20" s="6" t="s">
        <v>26</v>
      </c>
      <c r="D20" s="6" t="s">
        <v>70</v>
      </c>
      <c r="E20" s="7" t="b">
        <v>1</v>
      </c>
      <c r="F20" s="10" t="b">
        <v>0</v>
      </c>
      <c r="G20" s="10" t="b">
        <v>1</v>
      </c>
      <c r="H20" s="17"/>
      <c r="I20" s="9"/>
      <c r="J20" s="6"/>
      <c r="K20" s="9"/>
      <c r="L20" s="8"/>
      <c r="M20" s="8"/>
      <c r="N20" s="8"/>
      <c r="O20" s="8"/>
      <c r="P20" s="47"/>
    </row>
    <row r="21" spans="2:16" ht="27.95" customHeight="1">
      <c r="B21" s="46">
        <v>8</v>
      </c>
      <c r="C21" s="6" t="s">
        <v>26</v>
      </c>
      <c r="D21" s="6" t="s">
        <v>71</v>
      </c>
      <c r="E21" s="7" t="b">
        <v>1</v>
      </c>
      <c r="F21" s="10" t="b">
        <v>0</v>
      </c>
      <c r="G21" s="10" t="b">
        <v>1</v>
      </c>
      <c r="H21" s="17"/>
      <c r="I21" s="9"/>
      <c r="J21" s="6"/>
      <c r="K21" s="9"/>
      <c r="L21" s="8"/>
      <c r="M21" s="8"/>
      <c r="N21" s="8"/>
      <c r="O21" s="8"/>
      <c r="P21" s="47"/>
    </row>
    <row r="22" spans="2:16" ht="27.95" customHeight="1">
      <c r="B22" s="46">
        <v>9</v>
      </c>
      <c r="C22" s="6" t="s">
        <v>26</v>
      </c>
      <c r="D22" s="6" t="s">
        <v>72</v>
      </c>
      <c r="E22" s="7" t="b">
        <v>1</v>
      </c>
      <c r="F22" s="10" t="b">
        <v>0</v>
      </c>
      <c r="G22" s="10" t="b">
        <v>1</v>
      </c>
      <c r="H22" s="17"/>
      <c r="I22" s="9"/>
      <c r="J22" s="6"/>
      <c r="K22" s="9"/>
      <c r="L22" s="8"/>
      <c r="M22" s="8"/>
      <c r="N22" s="8"/>
      <c r="O22" s="8"/>
      <c r="P22" s="47"/>
    </row>
    <row r="23" spans="2:16" ht="27.95" customHeight="1">
      <c r="B23" s="48">
        <v>10</v>
      </c>
      <c r="C23" s="12" t="s">
        <v>26</v>
      </c>
      <c r="D23" s="12" t="s">
        <v>73</v>
      </c>
      <c r="E23" s="13" t="b">
        <v>1</v>
      </c>
      <c r="F23" s="16" t="b">
        <v>0</v>
      </c>
      <c r="G23" s="16" t="b">
        <v>1</v>
      </c>
      <c r="H23" s="17"/>
      <c r="I23" s="15"/>
      <c r="J23" s="12"/>
      <c r="K23" s="15"/>
      <c r="L23" s="8"/>
      <c r="M23" s="14"/>
      <c r="N23" s="14"/>
      <c r="O23" s="14"/>
      <c r="P23" s="49"/>
    </row>
    <row r="24" spans="2:16" ht="15.95" customHeight="1">
      <c r="B24" s="67" t="s">
        <v>74</v>
      </c>
      <c r="C24" s="105"/>
      <c r="D24" s="105"/>
      <c r="E24" s="105"/>
      <c r="F24" s="105"/>
      <c r="G24" s="105"/>
      <c r="H24" s="105"/>
      <c r="I24" s="105"/>
      <c r="J24" s="105"/>
      <c r="K24" s="105"/>
      <c r="L24" s="105"/>
      <c r="M24" s="105"/>
      <c r="N24" s="105"/>
      <c r="O24" s="105"/>
      <c r="P24" s="106"/>
    </row>
    <row r="25" spans="2:16" ht="27.95" customHeight="1">
      <c r="B25" s="44">
        <v>11</v>
      </c>
      <c r="C25" s="2" t="s">
        <v>27</v>
      </c>
      <c r="D25" s="2" t="s">
        <v>75</v>
      </c>
      <c r="E25" s="3" t="b">
        <v>1</v>
      </c>
      <c r="F25" s="11" t="b">
        <v>0</v>
      </c>
      <c r="G25" s="11" t="b">
        <v>1</v>
      </c>
      <c r="H25" s="17"/>
      <c r="I25" s="5"/>
      <c r="J25" s="2"/>
      <c r="K25" s="5"/>
      <c r="L25" s="4"/>
      <c r="M25" s="4"/>
      <c r="N25" s="4"/>
      <c r="O25" s="4"/>
      <c r="P25" s="45"/>
    </row>
    <row r="26" spans="2:16" ht="27.95" customHeight="1">
      <c r="B26" s="46">
        <v>12</v>
      </c>
      <c r="C26" s="6" t="s">
        <v>27</v>
      </c>
      <c r="D26" s="6" t="s">
        <v>76</v>
      </c>
      <c r="E26" s="7" t="b">
        <v>1</v>
      </c>
      <c r="F26" s="10" t="b">
        <v>0</v>
      </c>
      <c r="G26" s="10" t="b">
        <v>1</v>
      </c>
      <c r="H26" s="17"/>
      <c r="I26" s="9"/>
      <c r="J26" s="6"/>
      <c r="K26" s="9"/>
      <c r="L26" s="8"/>
      <c r="M26" s="8"/>
      <c r="N26" s="8"/>
      <c r="O26" s="8"/>
      <c r="P26" s="47"/>
    </row>
    <row r="27" spans="2:16" ht="27.95" customHeight="1">
      <c r="B27" s="46">
        <v>13</v>
      </c>
      <c r="C27" s="6" t="s">
        <v>27</v>
      </c>
      <c r="D27" s="6" t="s">
        <v>77</v>
      </c>
      <c r="E27" s="7" t="b">
        <v>1</v>
      </c>
      <c r="F27" s="10" t="b">
        <v>0</v>
      </c>
      <c r="G27" s="10" t="b">
        <v>1</v>
      </c>
      <c r="H27" s="17"/>
      <c r="I27" s="9"/>
      <c r="J27" s="6"/>
      <c r="K27" s="9"/>
      <c r="L27" s="8"/>
      <c r="M27" s="8"/>
      <c r="N27" s="8"/>
      <c r="O27" s="8"/>
      <c r="P27" s="47"/>
    </row>
    <row r="28" spans="2:16" ht="27.95" customHeight="1">
      <c r="B28" s="46">
        <v>14</v>
      </c>
      <c r="C28" s="6" t="s">
        <v>27</v>
      </c>
      <c r="D28" s="6" t="s">
        <v>78</v>
      </c>
      <c r="E28" s="7" t="b">
        <v>1</v>
      </c>
      <c r="F28" s="10" t="b">
        <v>0</v>
      </c>
      <c r="G28" s="10" t="b">
        <v>1</v>
      </c>
      <c r="H28" s="17"/>
      <c r="I28" s="9"/>
      <c r="J28" s="6"/>
      <c r="K28" s="9"/>
      <c r="L28" s="8"/>
      <c r="M28" s="8"/>
      <c r="N28" s="8"/>
      <c r="O28" s="8"/>
      <c r="P28" s="47"/>
    </row>
    <row r="29" spans="2:16" ht="27.95" customHeight="1">
      <c r="B29" s="48">
        <v>15</v>
      </c>
      <c r="C29" s="12" t="s">
        <v>27</v>
      </c>
      <c r="D29" s="12" t="s">
        <v>79</v>
      </c>
      <c r="E29" s="13" t="b">
        <v>1</v>
      </c>
      <c r="F29" s="16" t="b">
        <v>0</v>
      </c>
      <c r="G29" s="16" t="b">
        <v>1</v>
      </c>
      <c r="H29" s="17"/>
      <c r="I29" s="15"/>
      <c r="J29" s="12"/>
      <c r="K29" s="15"/>
      <c r="L29" s="8"/>
      <c r="M29" s="14"/>
      <c r="N29" s="14"/>
      <c r="O29" s="14"/>
      <c r="P29" s="49"/>
    </row>
    <row r="30" spans="2:16" ht="15.95" customHeight="1">
      <c r="B30" s="67" t="s">
        <v>80</v>
      </c>
      <c r="C30" s="105"/>
      <c r="D30" s="105"/>
      <c r="E30" s="105"/>
      <c r="F30" s="105"/>
      <c r="G30" s="105"/>
      <c r="H30" s="105"/>
      <c r="I30" s="105"/>
      <c r="J30" s="105"/>
      <c r="K30" s="105"/>
      <c r="L30" s="105"/>
      <c r="M30" s="105"/>
      <c r="N30" s="105"/>
      <c r="O30" s="105"/>
      <c r="P30" s="106"/>
    </row>
    <row r="31" spans="2:16" ht="27.95" customHeight="1">
      <c r="B31" s="44">
        <v>16</v>
      </c>
      <c r="C31" s="2" t="s">
        <v>28</v>
      </c>
      <c r="D31" s="2" t="s">
        <v>81</v>
      </c>
      <c r="E31" s="3" t="b">
        <v>1</v>
      </c>
      <c r="F31" s="11" t="b">
        <v>0</v>
      </c>
      <c r="G31" s="11" t="b">
        <v>1</v>
      </c>
      <c r="H31" s="17"/>
      <c r="I31" s="5"/>
      <c r="J31" s="2"/>
      <c r="K31" s="5"/>
      <c r="L31" s="4"/>
      <c r="M31" s="4"/>
      <c r="N31" s="4"/>
      <c r="O31" s="4"/>
      <c r="P31" s="45"/>
    </row>
    <row r="32" spans="2:16" ht="27.95" customHeight="1">
      <c r="B32" s="46">
        <v>17</v>
      </c>
      <c r="C32" s="6" t="s">
        <v>28</v>
      </c>
      <c r="D32" s="6" t="s">
        <v>82</v>
      </c>
      <c r="E32" s="7" t="b">
        <v>1</v>
      </c>
      <c r="F32" s="10" t="b">
        <v>0</v>
      </c>
      <c r="G32" s="10" t="b">
        <v>1</v>
      </c>
      <c r="H32" s="17"/>
      <c r="I32" s="9"/>
      <c r="J32" s="6"/>
      <c r="K32" s="9"/>
      <c r="L32" s="8"/>
      <c r="M32" s="8"/>
      <c r="N32" s="8"/>
      <c r="O32" s="8"/>
      <c r="P32" s="47"/>
    </row>
    <row r="33" spans="2:16" ht="27.95" customHeight="1">
      <c r="B33" s="46">
        <v>18</v>
      </c>
      <c r="C33" s="6" t="s">
        <v>28</v>
      </c>
      <c r="D33" s="6" t="s">
        <v>83</v>
      </c>
      <c r="E33" s="7" t="b">
        <v>1</v>
      </c>
      <c r="F33" s="10" t="b">
        <v>0</v>
      </c>
      <c r="G33" s="10" t="b">
        <v>1</v>
      </c>
      <c r="H33" s="17"/>
      <c r="I33" s="9"/>
      <c r="J33" s="6"/>
      <c r="K33" s="9"/>
      <c r="L33" s="8"/>
      <c r="M33" s="8"/>
      <c r="N33" s="8"/>
      <c r="O33" s="8"/>
      <c r="P33" s="47"/>
    </row>
    <row r="34" spans="2:16" ht="27.95" customHeight="1">
      <c r="B34" s="46">
        <v>19</v>
      </c>
      <c r="C34" s="6" t="s">
        <v>28</v>
      </c>
      <c r="D34" s="6" t="s">
        <v>84</v>
      </c>
      <c r="E34" s="7" t="b">
        <v>1</v>
      </c>
      <c r="F34" s="10" t="b">
        <v>0</v>
      </c>
      <c r="G34" s="10" t="b">
        <v>1</v>
      </c>
      <c r="H34" s="17"/>
      <c r="I34" s="9"/>
      <c r="J34" s="6"/>
      <c r="K34" s="9"/>
      <c r="L34" s="8"/>
      <c r="M34" s="8"/>
      <c r="N34" s="8"/>
      <c r="O34" s="8"/>
      <c r="P34" s="47"/>
    </row>
    <row r="35" spans="2:16" ht="27.95" customHeight="1">
      <c r="B35" s="46">
        <v>20</v>
      </c>
      <c r="C35" s="6" t="s">
        <v>28</v>
      </c>
      <c r="D35" s="6" t="s">
        <v>85</v>
      </c>
      <c r="E35" s="7" t="b">
        <v>1</v>
      </c>
      <c r="F35" s="10" t="b">
        <v>0</v>
      </c>
      <c r="G35" s="10" t="b">
        <v>1</v>
      </c>
      <c r="H35" s="17"/>
      <c r="I35" s="9"/>
      <c r="J35" s="6"/>
      <c r="K35" s="9"/>
      <c r="L35" s="8"/>
      <c r="M35" s="8"/>
      <c r="N35" s="8"/>
      <c r="O35" s="8"/>
      <c r="P35" s="47"/>
    </row>
    <row r="36" spans="2:16" ht="27.95" customHeight="1">
      <c r="B36" s="46">
        <v>21</v>
      </c>
      <c r="C36" s="6" t="s">
        <v>28</v>
      </c>
      <c r="D36" s="6" t="s">
        <v>86</v>
      </c>
      <c r="E36" s="7" t="b">
        <v>1</v>
      </c>
      <c r="F36" s="10" t="b">
        <v>1</v>
      </c>
      <c r="G36" s="10" t="b">
        <v>0</v>
      </c>
      <c r="H36" s="17"/>
      <c r="I36" s="9"/>
      <c r="J36" s="6"/>
      <c r="K36" s="9"/>
      <c r="L36" s="8"/>
      <c r="M36" s="8"/>
      <c r="N36" s="8"/>
      <c r="O36" s="8"/>
      <c r="P36" s="47"/>
    </row>
    <row r="37" spans="2:16" ht="27.95" customHeight="1">
      <c r="B37" s="46">
        <v>22</v>
      </c>
      <c r="C37" s="6" t="s">
        <v>28</v>
      </c>
      <c r="D37" s="6" t="s">
        <v>87</v>
      </c>
      <c r="E37" s="7" t="b">
        <v>1</v>
      </c>
      <c r="F37" s="10" t="b">
        <v>1</v>
      </c>
      <c r="G37" s="10" t="b">
        <v>0</v>
      </c>
      <c r="H37" s="17"/>
      <c r="I37" s="9"/>
      <c r="J37" s="6"/>
      <c r="K37" s="9"/>
      <c r="L37" s="8"/>
      <c r="M37" s="8"/>
      <c r="N37" s="8"/>
      <c r="O37" s="8"/>
      <c r="P37" s="47"/>
    </row>
    <row r="38" spans="2:16" ht="27.95" customHeight="1">
      <c r="B38" s="46">
        <v>23</v>
      </c>
      <c r="C38" s="6" t="s">
        <v>28</v>
      </c>
      <c r="D38" s="6" t="s">
        <v>88</v>
      </c>
      <c r="E38" s="7" t="b">
        <v>1</v>
      </c>
      <c r="F38" s="10" t="b">
        <v>1</v>
      </c>
      <c r="G38" s="10" t="b">
        <v>0</v>
      </c>
      <c r="H38" s="17"/>
      <c r="I38" s="9"/>
      <c r="J38" s="6"/>
      <c r="K38" s="9"/>
      <c r="L38" s="8"/>
      <c r="M38" s="8"/>
      <c r="N38" s="8"/>
      <c r="O38" s="8"/>
      <c r="P38" s="47"/>
    </row>
    <row r="39" spans="2:16" ht="27.95" customHeight="1">
      <c r="B39" s="46">
        <v>24</v>
      </c>
      <c r="C39" s="6" t="s">
        <v>28</v>
      </c>
      <c r="D39" s="6" t="s">
        <v>89</v>
      </c>
      <c r="E39" s="7" t="b">
        <v>1</v>
      </c>
      <c r="F39" s="10" t="b">
        <v>1</v>
      </c>
      <c r="G39" s="10" t="b">
        <v>0</v>
      </c>
      <c r="H39" s="17"/>
      <c r="I39" s="9"/>
      <c r="J39" s="6"/>
      <c r="K39" s="9"/>
      <c r="L39" s="8"/>
      <c r="M39" s="8"/>
      <c r="N39" s="8"/>
      <c r="O39" s="8"/>
      <c r="P39" s="47"/>
    </row>
    <row r="40" spans="2:16" ht="27.95" customHeight="1">
      <c r="B40" s="46">
        <v>25</v>
      </c>
      <c r="C40" s="6" t="s">
        <v>28</v>
      </c>
      <c r="D40" s="6" t="s">
        <v>90</v>
      </c>
      <c r="E40" s="7" t="b">
        <v>1</v>
      </c>
      <c r="F40" s="10" t="b">
        <v>1</v>
      </c>
      <c r="G40" s="10" t="b">
        <v>1</v>
      </c>
      <c r="H40" s="17"/>
      <c r="I40" s="9"/>
      <c r="J40" s="6"/>
      <c r="K40" s="9"/>
      <c r="L40" s="8"/>
      <c r="M40" s="8"/>
      <c r="N40" s="8"/>
      <c r="O40" s="8"/>
      <c r="P40" s="47"/>
    </row>
    <row r="41" spans="2:16" ht="27.95" customHeight="1">
      <c r="B41" s="46">
        <v>26</v>
      </c>
      <c r="C41" s="6" t="s">
        <v>28</v>
      </c>
      <c r="D41" s="6" t="s">
        <v>91</v>
      </c>
      <c r="E41" s="7" t="b">
        <v>1</v>
      </c>
      <c r="F41" s="10" t="b">
        <v>1</v>
      </c>
      <c r="G41" s="10" t="b">
        <v>1</v>
      </c>
      <c r="H41" s="17"/>
      <c r="I41" s="9"/>
      <c r="J41" s="6"/>
      <c r="K41" s="9"/>
      <c r="L41" s="8"/>
      <c r="M41" s="8"/>
      <c r="N41" s="8"/>
      <c r="O41" s="8"/>
      <c r="P41" s="47"/>
    </row>
    <row r="42" spans="2:16" ht="27.95" customHeight="1">
      <c r="B42" s="46">
        <v>27</v>
      </c>
      <c r="C42" s="6" t="s">
        <v>28</v>
      </c>
      <c r="D42" s="6" t="s">
        <v>92</v>
      </c>
      <c r="E42" s="7" t="b">
        <v>1</v>
      </c>
      <c r="F42" s="10" t="b">
        <v>1</v>
      </c>
      <c r="G42" s="10" t="b">
        <v>1</v>
      </c>
      <c r="H42" s="17"/>
      <c r="I42" s="9"/>
      <c r="J42" s="6"/>
      <c r="K42" s="9"/>
      <c r="L42" s="8"/>
      <c r="M42" s="8"/>
      <c r="N42" s="8"/>
      <c r="O42" s="8"/>
      <c r="P42" s="47"/>
    </row>
    <row r="43" spans="2:16" ht="27.95" customHeight="1">
      <c r="B43" s="46">
        <v>28</v>
      </c>
      <c r="C43" s="6" t="s">
        <v>28</v>
      </c>
      <c r="D43" s="6" t="s">
        <v>93</v>
      </c>
      <c r="E43" s="7" t="b">
        <v>1</v>
      </c>
      <c r="F43" s="10" t="b">
        <v>1</v>
      </c>
      <c r="G43" s="10" t="b">
        <v>0</v>
      </c>
      <c r="H43" s="17"/>
      <c r="I43" s="9"/>
      <c r="J43" s="6"/>
      <c r="K43" s="9"/>
      <c r="L43" s="14"/>
      <c r="M43" s="8"/>
      <c r="N43" s="8"/>
      <c r="O43" s="8"/>
      <c r="P43" s="47"/>
    </row>
    <row r="44" spans="2:16" ht="27.95" customHeight="1">
      <c r="B44" s="46">
        <v>29</v>
      </c>
      <c r="C44" s="6" t="s">
        <v>28</v>
      </c>
      <c r="D44" s="6" t="s">
        <v>94</v>
      </c>
      <c r="E44" s="7" t="b">
        <v>1</v>
      </c>
      <c r="F44" s="10" t="b">
        <v>1</v>
      </c>
      <c r="G44" s="10" t="b">
        <v>0</v>
      </c>
      <c r="H44" s="17"/>
      <c r="I44" s="9"/>
      <c r="J44" s="6"/>
      <c r="K44" s="9"/>
      <c r="L44" s="4"/>
      <c r="M44" s="8"/>
      <c r="N44" s="8"/>
      <c r="O44" s="8"/>
      <c r="P44" s="47"/>
    </row>
    <row r="45" spans="2:16" ht="27.95" customHeight="1">
      <c r="B45" s="46">
        <v>30</v>
      </c>
      <c r="C45" s="6" t="s">
        <v>28</v>
      </c>
      <c r="D45" s="6" t="s">
        <v>95</v>
      </c>
      <c r="E45" s="7" t="b">
        <v>1</v>
      </c>
      <c r="F45" s="10" t="b">
        <v>1</v>
      </c>
      <c r="G45" s="10" t="b">
        <v>0</v>
      </c>
      <c r="H45" s="17"/>
      <c r="I45" s="9"/>
      <c r="J45" s="6"/>
      <c r="K45" s="9"/>
      <c r="L45" s="8"/>
      <c r="M45" s="8"/>
      <c r="N45" s="8"/>
      <c r="O45" s="8"/>
      <c r="P45" s="47"/>
    </row>
    <row r="46" spans="2:16" ht="27.95" customHeight="1">
      <c r="B46" s="48">
        <v>31</v>
      </c>
      <c r="C46" s="12" t="s">
        <v>28</v>
      </c>
      <c r="D46" s="12" t="s">
        <v>96</v>
      </c>
      <c r="E46" s="13" t="b">
        <v>1</v>
      </c>
      <c r="F46" s="16" t="b">
        <v>1</v>
      </c>
      <c r="G46" s="16" t="b">
        <v>0</v>
      </c>
      <c r="H46" s="17"/>
      <c r="I46" s="15"/>
      <c r="J46" s="12"/>
      <c r="K46" s="15"/>
      <c r="L46" s="8"/>
      <c r="M46" s="14"/>
      <c r="N46" s="14"/>
      <c r="O46" s="14"/>
      <c r="P46" s="49"/>
    </row>
    <row r="47" spans="2:16" ht="15.95" customHeight="1">
      <c r="B47" s="67" t="s">
        <v>97</v>
      </c>
      <c r="C47" s="105"/>
      <c r="D47" s="105"/>
      <c r="E47" s="105"/>
      <c r="F47" s="105"/>
      <c r="G47" s="105"/>
      <c r="H47" s="105"/>
      <c r="I47" s="105"/>
      <c r="J47" s="105"/>
      <c r="K47" s="105"/>
      <c r="L47" s="105"/>
      <c r="M47" s="105"/>
      <c r="N47" s="105"/>
      <c r="O47" s="105"/>
      <c r="P47" s="106"/>
    </row>
    <row r="48" spans="2:16" ht="27.95" customHeight="1">
      <c r="B48" s="44">
        <v>32</v>
      </c>
      <c r="C48" s="2" t="s">
        <v>29</v>
      </c>
      <c r="D48" s="2" t="s">
        <v>98</v>
      </c>
      <c r="E48" s="3" t="b">
        <v>1</v>
      </c>
      <c r="F48" s="11" t="b">
        <v>0</v>
      </c>
      <c r="G48" s="11" t="b">
        <v>1</v>
      </c>
      <c r="H48" s="17"/>
      <c r="I48" s="5"/>
      <c r="J48" s="2"/>
      <c r="K48" s="5"/>
      <c r="L48" s="4"/>
      <c r="M48" s="4"/>
      <c r="N48" s="4"/>
      <c r="O48" s="4"/>
      <c r="P48" s="45"/>
    </row>
    <row r="49" spans="2:16" ht="27.95" customHeight="1">
      <c r="B49" s="46">
        <v>33</v>
      </c>
      <c r="C49" s="6" t="s">
        <v>29</v>
      </c>
      <c r="D49" s="6" t="s">
        <v>99</v>
      </c>
      <c r="E49" s="7" t="b">
        <v>1</v>
      </c>
      <c r="F49" s="10" t="b">
        <v>0</v>
      </c>
      <c r="G49" s="10" t="b">
        <v>1</v>
      </c>
      <c r="H49" s="17"/>
      <c r="I49" s="9"/>
      <c r="J49" s="6"/>
      <c r="K49" s="9"/>
      <c r="L49" s="8"/>
      <c r="M49" s="8"/>
      <c r="N49" s="8"/>
      <c r="O49" s="8"/>
      <c r="P49" s="47"/>
    </row>
    <row r="50" spans="2:16" ht="27.95" customHeight="1">
      <c r="B50" s="46">
        <v>34</v>
      </c>
      <c r="C50" s="6" t="s">
        <v>29</v>
      </c>
      <c r="D50" s="6" t="s">
        <v>100</v>
      </c>
      <c r="E50" s="7" t="b">
        <v>1</v>
      </c>
      <c r="F50" s="10" t="b">
        <v>0</v>
      </c>
      <c r="G50" s="10" t="b">
        <v>1</v>
      </c>
      <c r="H50" s="17"/>
      <c r="I50" s="9"/>
      <c r="J50" s="6"/>
      <c r="K50" s="9"/>
      <c r="L50" s="8"/>
      <c r="M50" s="8"/>
      <c r="N50" s="8"/>
      <c r="O50" s="8"/>
      <c r="P50" s="47"/>
    </row>
    <row r="51" spans="2:16" ht="27.95" customHeight="1">
      <c r="B51" s="46">
        <v>35</v>
      </c>
      <c r="C51" s="6" t="s">
        <v>29</v>
      </c>
      <c r="D51" s="6" t="s">
        <v>101</v>
      </c>
      <c r="E51" s="7" t="b">
        <v>1</v>
      </c>
      <c r="F51" s="10" t="b">
        <v>0</v>
      </c>
      <c r="G51" s="10" t="b">
        <v>1</v>
      </c>
      <c r="H51" s="17"/>
      <c r="I51" s="9"/>
      <c r="J51" s="6"/>
      <c r="K51" s="9"/>
      <c r="L51" s="8"/>
      <c r="M51" s="8"/>
      <c r="N51" s="8"/>
      <c r="O51" s="8"/>
      <c r="P51" s="47"/>
    </row>
    <row r="52" spans="2:16" ht="27.95" customHeight="1">
      <c r="B52" s="46">
        <v>36</v>
      </c>
      <c r="C52" s="6" t="s">
        <v>29</v>
      </c>
      <c r="D52" s="6" t="s">
        <v>102</v>
      </c>
      <c r="E52" s="7" t="b">
        <v>1</v>
      </c>
      <c r="F52" s="10" t="b">
        <v>0</v>
      </c>
      <c r="G52" s="10" t="b">
        <v>1</v>
      </c>
      <c r="H52" s="17"/>
      <c r="I52" s="9"/>
      <c r="J52" s="6"/>
      <c r="K52" s="9"/>
      <c r="L52" s="8"/>
      <c r="M52" s="8"/>
      <c r="N52" s="8"/>
      <c r="O52" s="8"/>
      <c r="P52" s="47"/>
    </row>
    <row r="53" spans="2:16" ht="27.95" customHeight="1">
      <c r="B53" s="46">
        <v>37</v>
      </c>
      <c r="C53" s="6" t="s">
        <v>29</v>
      </c>
      <c r="D53" s="6" t="s">
        <v>103</v>
      </c>
      <c r="E53" s="7" t="b">
        <v>1</v>
      </c>
      <c r="F53" s="10" t="b">
        <v>1</v>
      </c>
      <c r="G53" s="10" t="b">
        <v>0</v>
      </c>
      <c r="H53" s="17"/>
      <c r="I53" s="9"/>
      <c r="J53" s="6"/>
      <c r="K53" s="9"/>
      <c r="L53" s="8"/>
      <c r="M53" s="8"/>
      <c r="N53" s="8"/>
      <c r="O53" s="8"/>
      <c r="P53" s="47"/>
    </row>
    <row r="54" spans="2:16" ht="27.95" customHeight="1">
      <c r="B54" s="46">
        <v>38</v>
      </c>
      <c r="C54" s="6" t="s">
        <v>29</v>
      </c>
      <c r="D54" s="6" t="s">
        <v>104</v>
      </c>
      <c r="E54" s="7" t="b">
        <v>1</v>
      </c>
      <c r="F54" s="10" t="b">
        <v>1</v>
      </c>
      <c r="G54" s="10" t="b">
        <v>0</v>
      </c>
      <c r="H54" s="17"/>
      <c r="I54" s="9"/>
      <c r="J54" s="6"/>
      <c r="K54" s="9"/>
      <c r="L54" s="8"/>
      <c r="M54" s="8"/>
      <c r="N54" s="8"/>
      <c r="O54" s="8"/>
      <c r="P54" s="47"/>
    </row>
    <row r="55" spans="2:16" ht="27.95" customHeight="1">
      <c r="B55" s="46">
        <v>39</v>
      </c>
      <c r="C55" s="6" t="s">
        <v>29</v>
      </c>
      <c r="D55" s="6" t="s">
        <v>105</v>
      </c>
      <c r="E55" s="7" t="b">
        <v>1</v>
      </c>
      <c r="F55" s="10" t="b">
        <v>1</v>
      </c>
      <c r="G55" s="10" t="b">
        <v>0</v>
      </c>
      <c r="H55" s="17"/>
      <c r="I55" s="9"/>
      <c r="J55" s="6"/>
      <c r="K55" s="9"/>
      <c r="L55" s="8"/>
      <c r="M55" s="8"/>
      <c r="N55" s="8"/>
      <c r="O55" s="8"/>
      <c r="P55" s="47"/>
    </row>
    <row r="56" spans="2:16" ht="27.95" customHeight="1">
      <c r="B56" s="46">
        <v>40</v>
      </c>
      <c r="C56" s="6" t="s">
        <v>29</v>
      </c>
      <c r="D56" s="6" t="s">
        <v>106</v>
      </c>
      <c r="E56" s="7" t="b">
        <v>1</v>
      </c>
      <c r="F56" s="10" t="b">
        <v>1</v>
      </c>
      <c r="G56" s="10" t="b">
        <v>0</v>
      </c>
      <c r="H56" s="17"/>
      <c r="I56" s="9"/>
      <c r="J56" s="6"/>
      <c r="K56" s="9"/>
      <c r="L56" s="8"/>
      <c r="M56" s="8"/>
      <c r="N56" s="8"/>
      <c r="O56" s="8"/>
      <c r="P56" s="47"/>
    </row>
    <row r="57" spans="2:16" ht="27.95" customHeight="1">
      <c r="B57" s="46">
        <v>41</v>
      </c>
      <c r="C57" s="6" t="s">
        <v>29</v>
      </c>
      <c r="D57" s="6" t="s">
        <v>107</v>
      </c>
      <c r="E57" s="7" t="b">
        <v>1</v>
      </c>
      <c r="F57" s="10" t="b">
        <v>1</v>
      </c>
      <c r="G57" s="10" t="b">
        <v>0</v>
      </c>
      <c r="H57" s="17"/>
      <c r="I57" s="9"/>
      <c r="J57" s="6"/>
      <c r="K57" s="9"/>
      <c r="L57" s="8"/>
      <c r="M57" s="8"/>
      <c r="N57" s="8"/>
      <c r="O57" s="8"/>
      <c r="P57" s="47"/>
    </row>
    <row r="58" spans="2:16" ht="27.95" customHeight="1">
      <c r="B58" s="46">
        <v>42</v>
      </c>
      <c r="C58" s="6" t="s">
        <v>29</v>
      </c>
      <c r="D58" s="6" t="s">
        <v>108</v>
      </c>
      <c r="E58" s="7" t="b">
        <v>1</v>
      </c>
      <c r="F58" s="10" t="b">
        <v>1</v>
      </c>
      <c r="G58" s="10" t="b">
        <v>0</v>
      </c>
      <c r="H58" s="17"/>
      <c r="I58" s="9"/>
      <c r="J58" s="6"/>
      <c r="K58" s="9"/>
      <c r="L58" s="8"/>
      <c r="M58" s="8"/>
      <c r="N58" s="8"/>
      <c r="O58" s="8"/>
      <c r="P58" s="47"/>
    </row>
    <row r="59" spans="2:16" ht="27.95" customHeight="1">
      <c r="B59" s="46">
        <v>43</v>
      </c>
      <c r="C59" s="6" t="s">
        <v>29</v>
      </c>
      <c r="D59" s="6" t="s">
        <v>109</v>
      </c>
      <c r="E59" s="7" t="b">
        <v>1</v>
      </c>
      <c r="F59" s="10" t="b">
        <v>1</v>
      </c>
      <c r="G59" s="10" t="b">
        <v>0</v>
      </c>
      <c r="H59" s="17"/>
      <c r="I59" s="9"/>
      <c r="J59" s="6"/>
      <c r="K59" s="9"/>
      <c r="L59" s="8"/>
      <c r="M59" s="8"/>
      <c r="N59" s="8"/>
      <c r="O59" s="8"/>
      <c r="P59" s="47"/>
    </row>
    <row r="60" spans="2:16" ht="27.95" customHeight="1">
      <c r="B60" s="46">
        <v>44</v>
      </c>
      <c r="C60" s="6" t="s">
        <v>29</v>
      </c>
      <c r="D60" s="6" t="s">
        <v>110</v>
      </c>
      <c r="E60" s="7" t="b">
        <v>1</v>
      </c>
      <c r="F60" s="10" t="b">
        <v>1</v>
      </c>
      <c r="G60" s="10" t="b">
        <v>0</v>
      </c>
      <c r="H60" s="17"/>
      <c r="I60" s="9"/>
      <c r="J60" s="6"/>
      <c r="K60" s="9"/>
      <c r="L60" s="14"/>
      <c r="M60" s="8"/>
      <c r="N60" s="8"/>
      <c r="O60" s="8"/>
      <c r="P60" s="47"/>
    </row>
    <row r="61" spans="2:16" ht="27.95" customHeight="1">
      <c r="B61" s="46">
        <v>45</v>
      </c>
      <c r="C61" s="6" t="s">
        <v>29</v>
      </c>
      <c r="D61" s="6" t="s">
        <v>111</v>
      </c>
      <c r="E61" s="7" t="b">
        <v>1</v>
      </c>
      <c r="F61" s="10" t="b">
        <v>1</v>
      </c>
      <c r="G61" s="10" t="b">
        <v>0</v>
      </c>
      <c r="H61" s="17"/>
      <c r="I61" s="9"/>
      <c r="J61" s="6"/>
      <c r="K61" s="9"/>
      <c r="L61" s="4"/>
      <c r="M61" s="8"/>
      <c r="N61" s="8"/>
      <c r="O61" s="8"/>
      <c r="P61" s="47"/>
    </row>
    <row r="62" spans="2:16" ht="27.95" customHeight="1">
      <c r="B62" s="46">
        <v>46</v>
      </c>
      <c r="C62" s="6" t="s">
        <v>29</v>
      </c>
      <c r="D62" s="6" t="s">
        <v>112</v>
      </c>
      <c r="E62" s="7" t="b">
        <v>1</v>
      </c>
      <c r="F62" s="10" t="b">
        <v>1</v>
      </c>
      <c r="G62" s="10" t="b">
        <v>0</v>
      </c>
      <c r="H62" s="17"/>
      <c r="I62" s="9"/>
      <c r="J62" s="6"/>
      <c r="K62" s="9"/>
      <c r="L62" s="8"/>
      <c r="M62" s="8"/>
      <c r="N62" s="8"/>
      <c r="O62" s="8"/>
      <c r="P62" s="47"/>
    </row>
    <row r="63" spans="2:16" ht="27.95" customHeight="1">
      <c r="B63" s="46">
        <v>47</v>
      </c>
      <c r="C63" s="6" t="s">
        <v>29</v>
      </c>
      <c r="D63" s="6" t="s">
        <v>113</v>
      </c>
      <c r="E63" s="7" t="b">
        <v>1</v>
      </c>
      <c r="F63" s="10" t="b">
        <v>1</v>
      </c>
      <c r="G63" s="10" t="b">
        <v>0</v>
      </c>
      <c r="H63" s="17"/>
      <c r="I63" s="9"/>
      <c r="J63" s="6"/>
      <c r="K63" s="9"/>
      <c r="L63" s="8"/>
      <c r="M63" s="8"/>
      <c r="N63" s="8"/>
      <c r="O63" s="8"/>
      <c r="P63" s="47"/>
    </row>
    <row r="64" spans="2:16" ht="27.95" customHeight="1">
      <c r="B64" s="46">
        <v>48</v>
      </c>
      <c r="C64" s="6" t="s">
        <v>29</v>
      </c>
      <c r="D64" s="6" t="s">
        <v>114</v>
      </c>
      <c r="E64" s="7" t="b">
        <v>1</v>
      </c>
      <c r="F64" s="10" t="b">
        <v>1</v>
      </c>
      <c r="G64" s="10" t="b">
        <v>0</v>
      </c>
      <c r="H64" s="17"/>
      <c r="I64" s="9"/>
      <c r="J64" s="6"/>
      <c r="K64" s="9"/>
      <c r="L64" s="8"/>
      <c r="M64" s="8"/>
      <c r="N64" s="8"/>
      <c r="O64" s="8"/>
      <c r="P64" s="47"/>
    </row>
    <row r="65" spans="2:16" ht="27.95" customHeight="1">
      <c r="B65" s="48">
        <v>49</v>
      </c>
      <c r="C65" s="12" t="s">
        <v>29</v>
      </c>
      <c r="D65" s="12" t="s">
        <v>115</v>
      </c>
      <c r="E65" s="13" t="b">
        <v>1</v>
      </c>
      <c r="F65" s="16" t="b">
        <v>1</v>
      </c>
      <c r="G65" s="16" t="b">
        <v>0</v>
      </c>
      <c r="H65" s="17"/>
      <c r="I65" s="15"/>
      <c r="J65" s="12"/>
      <c r="K65" s="15"/>
      <c r="L65" s="8"/>
      <c r="M65" s="14"/>
      <c r="N65" s="14"/>
      <c r="O65" s="14"/>
      <c r="P65" s="49"/>
    </row>
    <row r="66" spans="2:16" ht="15.95" customHeight="1">
      <c r="B66" s="67" t="s">
        <v>116</v>
      </c>
      <c r="C66" s="105"/>
      <c r="D66" s="105"/>
      <c r="E66" s="105"/>
      <c r="F66" s="105"/>
      <c r="G66" s="105"/>
      <c r="H66" s="105"/>
      <c r="I66" s="105"/>
      <c r="J66" s="105"/>
      <c r="K66" s="105"/>
      <c r="L66" s="105"/>
      <c r="M66" s="105"/>
      <c r="N66" s="105"/>
      <c r="O66" s="105"/>
      <c r="P66" s="106"/>
    </row>
    <row r="67" spans="2:16" ht="27.95" customHeight="1">
      <c r="B67" s="44">
        <v>50</v>
      </c>
      <c r="C67" s="2" t="s">
        <v>30</v>
      </c>
      <c r="D67" s="2" t="s">
        <v>117</v>
      </c>
      <c r="E67" s="3" t="b">
        <v>1</v>
      </c>
      <c r="F67" s="11" t="b">
        <v>0</v>
      </c>
      <c r="G67" s="11" t="b">
        <v>1</v>
      </c>
      <c r="H67" s="17"/>
      <c r="I67" s="5"/>
      <c r="J67" s="2"/>
      <c r="K67" s="5"/>
      <c r="L67" s="4"/>
      <c r="M67" s="4"/>
      <c r="N67" s="4"/>
      <c r="O67" s="4"/>
      <c r="P67" s="45"/>
    </row>
    <row r="68" spans="2:16" ht="27.95" customHeight="1">
      <c r="B68" s="46">
        <v>51</v>
      </c>
      <c r="C68" s="6" t="s">
        <v>30</v>
      </c>
      <c r="D68" s="6" t="s">
        <v>118</v>
      </c>
      <c r="E68" s="7" t="b">
        <v>1</v>
      </c>
      <c r="F68" s="10" t="b">
        <v>0</v>
      </c>
      <c r="G68" s="10" t="b">
        <v>1</v>
      </c>
      <c r="H68" s="17"/>
      <c r="I68" s="9"/>
      <c r="J68" s="6"/>
      <c r="K68" s="9"/>
      <c r="L68" s="8"/>
      <c r="M68" s="8"/>
      <c r="N68" s="8"/>
      <c r="O68" s="8"/>
      <c r="P68" s="47"/>
    </row>
    <row r="69" spans="2:16" ht="27.95" customHeight="1">
      <c r="B69" s="46">
        <v>52</v>
      </c>
      <c r="C69" s="6" t="s">
        <v>30</v>
      </c>
      <c r="D69" s="6" t="s">
        <v>119</v>
      </c>
      <c r="E69" s="7" t="b">
        <v>1</v>
      </c>
      <c r="F69" s="10" t="b">
        <v>0</v>
      </c>
      <c r="G69" s="10" t="b">
        <v>1</v>
      </c>
      <c r="H69" s="17"/>
      <c r="I69" s="9"/>
      <c r="J69" s="6"/>
      <c r="K69" s="9"/>
      <c r="L69" s="8"/>
      <c r="M69" s="8"/>
      <c r="N69" s="8"/>
      <c r="O69" s="8"/>
      <c r="P69" s="47"/>
    </row>
    <row r="70" spans="2:16" ht="27.95" customHeight="1">
      <c r="B70" s="46">
        <v>53</v>
      </c>
      <c r="C70" s="6" t="s">
        <v>30</v>
      </c>
      <c r="D70" s="6" t="s">
        <v>120</v>
      </c>
      <c r="E70" s="7" t="b">
        <v>1</v>
      </c>
      <c r="F70" s="10" t="b">
        <v>0</v>
      </c>
      <c r="G70" s="10" t="b">
        <v>1</v>
      </c>
      <c r="H70" s="17"/>
      <c r="I70" s="9"/>
      <c r="J70" s="6"/>
      <c r="K70" s="9"/>
      <c r="L70" s="8"/>
      <c r="M70" s="8"/>
      <c r="N70" s="8"/>
      <c r="O70" s="8"/>
      <c r="P70" s="47"/>
    </row>
    <row r="71" spans="2:16" ht="27.95" customHeight="1">
      <c r="B71" s="46">
        <v>54</v>
      </c>
      <c r="C71" s="6" t="s">
        <v>30</v>
      </c>
      <c r="D71" s="6" t="s">
        <v>121</v>
      </c>
      <c r="E71" s="7" t="b">
        <v>1</v>
      </c>
      <c r="F71" s="10" t="b">
        <v>0</v>
      </c>
      <c r="G71" s="10" t="b">
        <v>1</v>
      </c>
      <c r="H71" s="17"/>
      <c r="I71" s="9"/>
      <c r="J71" s="6"/>
      <c r="K71" s="9"/>
      <c r="L71" s="8"/>
      <c r="M71" s="8"/>
      <c r="N71" s="8"/>
      <c r="O71" s="8"/>
      <c r="P71" s="47"/>
    </row>
    <row r="72" spans="2:16" ht="27.95" customHeight="1">
      <c r="B72" s="46">
        <v>55</v>
      </c>
      <c r="C72" s="6" t="s">
        <v>30</v>
      </c>
      <c r="D72" s="6" t="s">
        <v>122</v>
      </c>
      <c r="E72" s="7" t="b">
        <v>1</v>
      </c>
      <c r="F72" s="10" t="b">
        <v>1</v>
      </c>
      <c r="G72" s="10" t="b">
        <v>0</v>
      </c>
      <c r="H72" s="17"/>
      <c r="I72" s="9"/>
      <c r="J72" s="6"/>
      <c r="K72" s="9"/>
      <c r="L72" s="8"/>
      <c r="M72" s="8"/>
      <c r="N72" s="8"/>
      <c r="O72" s="8"/>
      <c r="P72" s="47"/>
    </row>
    <row r="73" spans="2:16" ht="27.95" customHeight="1">
      <c r="B73" s="46">
        <v>56</v>
      </c>
      <c r="C73" s="6" t="s">
        <v>30</v>
      </c>
      <c r="D73" s="6" t="s">
        <v>123</v>
      </c>
      <c r="E73" s="7" t="b">
        <v>1</v>
      </c>
      <c r="F73" s="10" t="b">
        <v>1</v>
      </c>
      <c r="G73" s="10" t="b">
        <v>0</v>
      </c>
      <c r="H73" s="17"/>
      <c r="I73" s="9"/>
      <c r="J73" s="6"/>
      <c r="K73" s="9"/>
      <c r="L73" s="8"/>
      <c r="M73" s="8"/>
      <c r="N73" s="8"/>
      <c r="O73" s="8"/>
      <c r="P73" s="47"/>
    </row>
    <row r="74" spans="2:16" ht="27.95" customHeight="1">
      <c r="B74" s="46">
        <v>57</v>
      </c>
      <c r="C74" s="6" t="s">
        <v>30</v>
      </c>
      <c r="D74" s="6" t="s">
        <v>124</v>
      </c>
      <c r="E74" s="7" t="b">
        <v>1</v>
      </c>
      <c r="F74" s="10" t="b">
        <v>1</v>
      </c>
      <c r="G74" s="10" t="b">
        <v>0</v>
      </c>
      <c r="H74" s="17"/>
      <c r="I74" s="9"/>
      <c r="J74" s="6"/>
      <c r="K74" s="9"/>
      <c r="L74" s="8"/>
      <c r="M74" s="8"/>
      <c r="N74" s="8"/>
      <c r="O74" s="8"/>
      <c r="P74" s="47"/>
    </row>
    <row r="75" spans="2:16" ht="27.95" customHeight="1">
      <c r="B75" s="46">
        <v>58</v>
      </c>
      <c r="C75" s="6" t="s">
        <v>30</v>
      </c>
      <c r="D75" s="6" t="s">
        <v>125</v>
      </c>
      <c r="E75" s="7" t="b">
        <v>1</v>
      </c>
      <c r="F75" s="10" t="b">
        <v>1</v>
      </c>
      <c r="G75" s="10" t="b">
        <v>0</v>
      </c>
      <c r="H75" s="17"/>
      <c r="I75" s="9"/>
      <c r="J75" s="6"/>
      <c r="K75" s="9"/>
      <c r="L75" s="8"/>
      <c r="M75" s="8"/>
      <c r="N75" s="8"/>
      <c r="O75" s="8"/>
      <c r="P75" s="47"/>
    </row>
    <row r="76" spans="2:16" ht="27.95" customHeight="1">
      <c r="B76" s="46">
        <v>59</v>
      </c>
      <c r="C76" s="6" t="s">
        <v>30</v>
      </c>
      <c r="D76" s="6" t="s">
        <v>126</v>
      </c>
      <c r="E76" s="7" t="b">
        <v>1</v>
      </c>
      <c r="F76" s="10" t="b">
        <v>1</v>
      </c>
      <c r="G76" s="10" t="b">
        <v>0</v>
      </c>
      <c r="H76" s="17"/>
      <c r="I76" s="9"/>
      <c r="J76" s="6"/>
      <c r="K76" s="9"/>
      <c r="L76" s="8"/>
      <c r="M76" s="8"/>
      <c r="N76" s="8"/>
      <c r="O76" s="8"/>
      <c r="P76" s="47"/>
    </row>
    <row r="77" spans="2:16" ht="27.95" customHeight="1">
      <c r="B77" s="46">
        <v>60</v>
      </c>
      <c r="C77" s="6" t="s">
        <v>30</v>
      </c>
      <c r="D77" s="6" t="s">
        <v>127</v>
      </c>
      <c r="E77" s="7" t="b">
        <v>1</v>
      </c>
      <c r="F77" s="10" t="b">
        <v>1</v>
      </c>
      <c r="G77" s="10" t="b">
        <v>0</v>
      </c>
      <c r="H77" s="17"/>
      <c r="I77" s="9"/>
      <c r="J77" s="6"/>
      <c r="K77" s="9"/>
      <c r="L77" s="8"/>
      <c r="M77" s="8"/>
      <c r="N77" s="8"/>
      <c r="O77" s="8"/>
      <c r="P77" s="47"/>
    </row>
    <row r="78" spans="2:16" ht="27.95" customHeight="1">
      <c r="B78" s="46">
        <v>61</v>
      </c>
      <c r="C78" s="6" t="s">
        <v>30</v>
      </c>
      <c r="D78" s="6" t="s">
        <v>128</v>
      </c>
      <c r="E78" s="7" t="b">
        <v>1</v>
      </c>
      <c r="F78" s="10" t="b">
        <v>1</v>
      </c>
      <c r="G78" s="10" t="b">
        <v>0</v>
      </c>
      <c r="H78" s="17"/>
      <c r="I78" s="9"/>
      <c r="J78" s="6"/>
      <c r="K78" s="9"/>
      <c r="L78" s="8"/>
      <c r="M78" s="8"/>
      <c r="N78" s="8"/>
      <c r="O78" s="8"/>
      <c r="P78" s="47"/>
    </row>
    <row r="79" spans="2:16" ht="27.95" customHeight="1">
      <c r="B79" s="48">
        <v>62</v>
      </c>
      <c r="C79" s="12" t="s">
        <v>30</v>
      </c>
      <c r="D79" s="12" t="s">
        <v>129</v>
      </c>
      <c r="E79" s="13" t="b">
        <v>1</v>
      </c>
      <c r="F79" s="16" t="b">
        <v>1</v>
      </c>
      <c r="G79" s="16" t="b">
        <v>0</v>
      </c>
      <c r="H79" s="17"/>
      <c r="I79" s="15"/>
      <c r="J79" s="12"/>
      <c r="K79" s="15"/>
      <c r="L79" s="14"/>
      <c r="M79" s="14"/>
      <c r="N79" s="14"/>
      <c r="O79" s="14"/>
      <c r="P79" s="49"/>
    </row>
    <row r="80" spans="2:16" ht="15.95" customHeight="1">
      <c r="B80" s="67" t="s">
        <v>130</v>
      </c>
      <c r="C80" s="105"/>
      <c r="D80" s="105"/>
      <c r="E80" s="105"/>
      <c r="F80" s="105"/>
      <c r="G80" s="105"/>
      <c r="H80" s="105"/>
      <c r="I80" s="105"/>
      <c r="J80" s="105"/>
      <c r="K80" s="105"/>
      <c r="L80" s="105"/>
      <c r="M80" s="105"/>
      <c r="N80" s="105"/>
      <c r="O80" s="105"/>
      <c r="P80" s="106"/>
    </row>
    <row r="81" spans="2:16" ht="27.95" customHeight="1">
      <c r="B81" s="44">
        <v>63</v>
      </c>
      <c r="C81" s="2" t="s">
        <v>31</v>
      </c>
      <c r="D81" s="2" t="s">
        <v>131</v>
      </c>
      <c r="E81" s="3" t="b">
        <v>1</v>
      </c>
      <c r="F81" s="11" t="b">
        <v>1</v>
      </c>
      <c r="G81" s="11" t="b">
        <v>1</v>
      </c>
      <c r="H81" s="17"/>
      <c r="I81" s="5"/>
      <c r="J81" s="2"/>
      <c r="K81" s="5"/>
      <c r="L81" s="4"/>
      <c r="M81" s="4"/>
      <c r="N81" s="4"/>
      <c r="O81" s="4"/>
      <c r="P81" s="45"/>
    </row>
    <row r="82" spans="2:16" ht="27.95" customHeight="1">
      <c r="B82" s="46">
        <v>64</v>
      </c>
      <c r="C82" s="6" t="s">
        <v>31</v>
      </c>
      <c r="D82" s="6" t="s">
        <v>132</v>
      </c>
      <c r="E82" s="7" t="b">
        <v>1</v>
      </c>
      <c r="F82" s="10" t="b">
        <v>1</v>
      </c>
      <c r="G82" s="10" t="b">
        <v>1</v>
      </c>
      <c r="H82" s="17"/>
      <c r="I82" s="9"/>
      <c r="J82" s="6"/>
      <c r="K82" s="9"/>
      <c r="L82" s="8"/>
      <c r="M82" s="8"/>
      <c r="N82" s="8"/>
      <c r="O82" s="8"/>
      <c r="P82" s="47"/>
    </row>
    <row r="83" spans="2:16" ht="27.95" customHeight="1">
      <c r="B83" s="46">
        <v>65</v>
      </c>
      <c r="C83" s="6" t="s">
        <v>31</v>
      </c>
      <c r="D83" s="6" t="s">
        <v>133</v>
      </c>
      <c r="E83" s="7" t="b">
        <v>1</v>
      </c>
      <c r="F83" s="10" t="b">
        <v>1</v>
      </c>
      <c r="G83" s="10" t="b">
        <v>1</v>
      </c>
      <c r="H83" s="17"/>
      <c r="I83" s="9"/>
      <c r="J83" s="6"/>
      <c r="K83" s="9"/>
      <c r="L83" s="8"/>
      <c r="M83" s="8"/>
      <c r="N83" s="8"/>
      <c r="O83" s="8"/>
      <c r="P83" s="47"/>
    </row>
    <row r="84" spans="2:16" ht="27.95" customHeight="1">
      <c r="B84" s="46">
        <v>66</v>
      </c>
      <c r="C84" s="6" t="s">
        <v>31</v>
      </c>
      <c r="D84" s="6" t="s">
        <v>134</v>
      </c>
      <c r="E84" s="7" t="b">
        <v>1</v>
      </c>
      <c r="F84" s="10" t="b">
        <v>1</v>
      </c>
      <c r="G84" s="10" t="b">
        <v>1</v>
      </c>
      <c r="H84" s="17"/>
      <c r="I84" s="9"/>
      <c r="J84" s="6"/>
      <c r="K84" s="9"/>
      <c r="L84" s="8"/>
      <c r="M84" s="8"/>
      <c r="N84" s="8"/>
      <c r="O84" s="8"/>
      <c r="P84" s="47"/>
    </row>
    <row r="85" spans="2:16" ht="27.95" customHeight="1">
      <c r="B85" s="46">
        <v>67</v>
      </c>
      <c r="C85" s="6" t="s">
        <v>31</v>
      </c>
      <c r="D85" s="6" t="s">
        <v>135</v>
      </c>
      <c r="E85" s="7" t="b">
        <v>1</v>
      </c>
      <c r="F85" s="10" t="b">
        <v>1</v>
      </c>
      <c r="G85" s="10" t="b">
        <v>1</v>
      </c>
      <c r="H85" s="17"/>
      <c r="I85" s="9"/>
      <c r="J85" s="6"/>
      <c r="K85" s="9"/>
      <c r="L85" s="8"/>
      <c r="M85" s="8"/>
      <c r="N85" s="8"/>
      <c r="O85" s="8"/>
      <c r="P85" s="47"/>
    </row>
    <row r="86" spans="2:16" ht="27.95" customHeight="1">
      <c r="B86" s="46">
        <v>68</v>
      </c>
      <c r="C86" s="6" t="s">
        <v>31</v>
      </c>
      <c r="D86" s="6" t="s">
        <v>136</v>
      </c>
      <c r="E86" s="10" t="b">
        <v>1</v>
      </c>
      <c r="F86" s="10" t="b">
        <v>1</v>
      </c>
      <c r="G86" s="10" t="b">
        <v>1</v>
      </c>
      <c r="H86" s="17"/>
      <c r="I86" s="9"/>
      <c r="J86" s="6"/>
      <c r="K86" s="9"/>
      <c r="L86" s="8"/>
      <c r="M86" s="8"/>
      <c r="N86" s="8"/>
      <c r="O86" s="8"/>
      <c r="P86" s="47"/>
    </row>
    <row r="87" spans="2:16" ht="27.95" customHeight="1">
      <c r="B87" s="46">
        <v>69</v>
      </c>
      <c r="C87" s="6" t="s">
        <v>31</v>
      </c>
      <c r="D87" s="6" t="s">
        <v>137</v>
      </c>
      <c r="E87" s="10" t="b">
        <v>1</v>
      </c>
      <c r="F87" s="10" t="b">
        <v>1</v>
      </c>
      <c r="G87" s="10" t="b">
        <v>1</v>
      </c>
      <c r="H87" s="17"/>
      <c r="I87" s="9"/>
      <c r="J87" s="6"/>
      <c r="K87" s="9"/>
      <c r="L87" s="8"/>
      <c r="M87" s="8"/>
      <c r="N87" s="8"/>
      <c r="O87" s="8"/>
      <c r="P87" s="47"/>
    </row>
    <row r="88" spans="2:16" ht="27.95" customHeight="1">
      <c r="B88" s="46">
        <v>70</v>
      </c>
      <c r="C88" s="6" t="s">
        <v>31</v>
      </c>
      <c r="D88" s="6" t="s">
        <v>138</v>
      </c>
      <c r="E88" s="10" t="b">
        <v>1</v>
      </c>
      <c r="F88" s="10" t="b">
        <v>1</v>
      </c>
      <c r="G88" s="10" t="b">
        <v>1</v>
      </c>
      <c r="H88" s="17"/>
      <c r="I88" s="9"/>
      <c r="J88" s="6"/>
      <c r="K88" s="9"/>
      <c r="L88" s="8"/>
      <c r="M88" s="8"/>
      <c r="N88" s="8"/>
      <c r="O88" s="8"/>
      <c r="P88" s="47"/>
    </row>
    <row r="89" spans="2:16" ht="27.95" customHeight="1">
      <c r="B89" s="46">
        <v>71</v>
      </c>
      <c r="C89" s="6" t="s">
        <v>31</v>
      </c>
      <c r="D89" s="6" t="s">
        <v>139</v>
      </c>
      <c r="E89" s="10" t="b">
        <v>1</v>
      </c>
      <c r="F89" s="10" t="b">
        <v>1</v>
      </c>
      <c r="G89" s="10" t="b">
        <v>1</v>
      </c>
      <c r="H89" s="17"/>
      <c r="I89" s="9"/>
      <c r="J89" s="6"/>
      <c r="K89" s="9"/>
      <c r="L89" s="8"/>
      <c r="M89" s="8"/>
      <c r="N89" s="8"/>
      <c r="O89" s="8"/>
      <c r="P89" s="47"/>
    </row>
    <row r="90" spans="2:16" ht="27.95" customHeight="1">
      <c r="B90" s="46">
        <v>72</v>
      </c>
      <c r="C90" s="6" t="s">
        <v>31</v>
      </c>
      <c r="D90" s="6" t="s">
        <v>140</v>
      </c>
      <c r="E90" s="10" t="b">
        <v>1</v>
      </c>
      <c r="F90" s="10" t="b">
        <v>1</v>
      </c>
      <c r="G90" s="10" t="b">
        <v>1</v>
      </c>
      <c r="H90" s="17"/>
      <c r="I90" s="9"/>
      <c r="J90" s="6"/>
      <c r="K90" s="9"/>
      <c r="L90" s="8"/>
      <c r="M90" s="8"/>
      <c r="N90" s="8"/>
      <c r="O90" s="8"/>
      <c r="P90" s="47"/>
    </row>
    <row r="91" spans="2:16" ht="27.95" customHeight="1">
      <c r="B91" s="46">
        <v>73</v>
      </c>
      <c r="C91" s="6" t="s">
        <v>31</v>
      </c>
      <c r="D91" s="6" t="s">
        <v>141</v>
      </c>
      <c r="E91" s="7" t="b">
        <v>1</v>
      </c>
      <c r="F91" s="10" t="b">
        <v>1</v>
      </c>
      <c r="G91" s="10" t="b">
        <v>0</v>
      </c>
      <c r="H91" s="17"/>
      <c r="I91" s="9"/>
      <c r="J91" s="6"/>
      <c r="K91" s="9"/>
      <c r="L91" s="8"/>
      <c r="M91" s="8"/>
      <c r="N91" s="8"/>
      <c r="O91" s="8"/>
      <c r="P91" s="47"/>
    </row>
    <row r="92" spans="2:16" ht="27.95" customHeight="1">
      <c r="B92" s="46">
        <v>74</v>
      </c>
      <c r="C92" s="6" t="s">
        <v>31</v>
      </c>
      <c r="D92" s="6" t="s">
        <v>142</v>
      </c>
      <c r="E92" s="7" t="b">
        <v>1</v>
      </c>
      <c r="F92" s="10" t="b">
        <v>1</v>
      </c>
      <c r="G92" s="10" t="b">
        <v>0</v>
      </c>
      <c r="H92" s="17"/>
      <c r="I92" s="9"/>
      <c r="J92" s="6"/>
      <c r="K92" s="9"/>
      <c r="L92" s="8"/>
      <c r="M92" s="8"/>
      <c r="N92" s="8"/>
      <c r="O92" s="8"/>
      <c r="P92" s="47"/>
    </row>
    <row r="93" spans="2:16" ht="27.95" customHeight="1">
      <c r="B93" s="46">
        <v>75</v>
      </c>
      <c r="C93" s="6" t="s">
        <v>31</v>
      </c>
      <c r="D93" s="6" t="s">
        <v>143</v>
      </c>
      <c r="E93" s="7" t="b">
        <v>1</v>
      </c>
      <c r="F93" s="10" t="b">
        <v>1</v>
      </c>
      <c r="G93" s="10" t="b">
        <v>0</v>
      </c>
      <c r="H93" s="17"/>
      <c r="I93" s="9"/>
      <c r="J93" s="6"/>
      <c r="K93" s="9"/>
      <c r="L93" s="8"/>
      <c r="M93" s="8"/>
      <c r="N93" s="8"/>
      <c r="O93" s="8"/>
      <c r="P93" s="47"/>
    </row>
    <row r="94" spans="2:16" ht="27.95" customHeight="1">
      <c r="B94" s="46">
        <v>76</v>
      </c>
      <c r="C94" s="6" t="s">
        <v>31</v>
      </c>
      <c r="D94" s="6" t="s">
        <v>144</v>
      </c>
      <c r="E94" s="7" t="b">
        <v>1</v>
      </c>
      <c r="F94" s="10" t="b">
        <v>1</v>
      </c>
      <c r="G94" s="10" t="b">
        <v>0</v>
      </c>
      <c r="H94" s="17"/>
      <c r="I94" s="9"/>
      <c r="J94" s="6"/>
      <c r="K94" s="9"/>
      <c r="L94" s="8"/>
      <c r="M94" s="8"/>
      <c r="N94" s="8"/>
      <c r="O94" s="8"/>
      <c r="P94" s="47"/>
    </row>
    <row r="95" spans="2:16" ht="27.95" customHeight="1">
      <c r="B95" s="46">
        <v>77</v>
      </c>
      <c r="C95" s="6" t="s">
        <v>31</v>
      </c>
      <c r="D95" s="6" t="s">
        <v>145</v>
      </c>
      <c r="E95" s="7" t="b">
        <v>1</v>
      </c>
      <c r="F95" s="10" t="b">
        <v>1</v>
      </c>
      <c r="G95" s="10" t="b">
        <v>0</v>
      </c>
      <c r="H95" s="17"/>
      <c r="I95" s="9"/>
      <c r="J95" s="6"/>
      <c r="K95" s="9"/>
      <c r="L95" s="8"/>
      <c r="M95" s="8"/>
      <c r="N95" s="8"/>
      <c r="O95" s="8"/>
      <c r="P95" s="47"/>
    </row>
    <row r="96" spans="2:16" ht="27.95" customHeight="1">
      <c r="B96" s="46">
        <v>78</v>
      </c>
      <c r="C96" s="6" t="s">
        <v>31</v>
      </c>
      <c r="D96" s="6" t="s">
        <v>146</v>
      </c>
      <c r="E96" s="7" t="b">
        <v>1</v>
      </c>
      <c r="F96" s="10" t="b">
        <v>1</v>
      </c>
      <c r="G96" s="10" t="b">
        <v>0</v>
      </c>
      <c r="H96" s="17"/>
      <c r="I96" s="9"/>
      <c r="J96" s="6"/>
      <c r="K96" s="9"/>
      <c r="L96" s="8"/>
      <c r="M96" s="8"/>
      <c r="N96" s="8"/>
      <c r="O96" s="8"/>
      <c r="P96" s="47"/>
    </row>
    <row r="97" spans="2:16" ht="27.95" customHeight="1">
      <c r="B97" s="46">
        <v>79</v>
      </c>
      <c r="C97" s="6" t="s">
        <v>31</v>
      </c>
      <c r="D97" s="6" t="s">
        <v>147</v>
      </c>
      <c r="E97" s="7" t="b">
        <v>1</v>
      </c>
      <c r="F97" s="10" t="b">
        <v>1</v>
      </c>
      <c r="G97" s="10" t="b">
        <v>0</v>
      </c>
      <c r="H97" s="17"/>
      <c r="I97" s="9"/>
      <c r="J97" s="6"/>
      <c r="K97" s="9"/>
      <c r="L97" s="8"/>
      <c r="M97" s="8"/>
      <c r="N97" s="8"/>
      <c r="O97" s="8"/>
      <c r="P97" s="47"/>
    </row>
    <row r="98" spans="2:16" ht="27.95" customHeight="1">
      <c r="B98" s="46">
        <v>80</v>
      </c>
      <c r="C98" s="6" t="s">
        <v>31</v>
      </c>
      <c r="D98" s="6" t="s">
        <v>148</v>
      </c>
      <c r="E98" s="7" t="b">
        <v>1</v>
      </c>
      <c r="F98" s="10" t="b">
        <v>1</v>
      </c>
      <c r="G98" s="10" t="b">
        <v>0</v>
      </c>
      <c r="H98" s="17"/>
      <c r="I98" s="9"/>
      <c r="J98" s="6"/>
      <c r="K98" s="9"/>
      <c r="L98" s="8"/>
      <c r="M98" s="8"/>
      <c r="N98" s="8"/>
      <c r="O98" s="8"/>
      <c r="P98" s="47"/>
    </row>
    <row r="99" spans="2:16" ht="27.95" customHeight="1">
      <c r="B99" s="46">
        <v>81</v>
      </c>
      <c r="C99" s="6" t="s">
        <v>31</v>
      </c>
      <c r="D99" s="6" t="s">
        <v>149</v>
      </c>
      <c r="E99" s="7" t="b">
        <v>1</v>
      </c>
      <c r="F99" s="10" t="b">
        <v>1</v>
      </c>
      <c r="G99" s="10" t="b">
        <v>0</v>
      </c>
      <c r="H99" s="17"/>
      <c r="I99" s="9"/>
      <c r="J99" s="6"/>
      <c r="K99" s="9"/>
      <c r="L99" s="8"/>
      <c r="M99" s="8"/>
      <c r="N99" s="8"/>
      <c r="O99" s="8"/>
      <c r="P99" s="47"/>
    </row>
    <row r="100" spans="2:16" ht="27.95" customHeight="1">
      <c r="B100" s="46">
        <v>82</v>
      </c>
      <c r="C100" s="6" t="s">
        <v>31</v>
      </c>
      <c r="D100" s="6" t="s">
        <v>150</v>
      </c>
      <c r="E100" s="7" t="b">
        <v>1</v>
      </c>
      <c r="F100" s="10" t="b">
        <v>1</v>
      </c>
      <c r="G100" s="10" t="b">
        <v>0</v>
      </c>
      <c r="H100" s="17"/>
      <c r="I100" s="9"/>
      <c r="J100" s="6"/>
      <c r="K100" s="9"/>
      <c r="L100" s="8"/>
      <c r="M100" s="8"/>
      <c r="N100" s="8"/>
      <c r="O100" s="8"/>
      <c r="P100" s="47"/>
    </row>
    <row r="101" spans="2:16" ht="27.95" customHeight="1">
      <c r="B101" s="46">
        <v>83</v>
      </c>
      <c r="C101" s="6" t="s">
        <v>31</v>
      </c>
      <c r="D101" s="6" t="s">
        <v>151</v>
      </c>
      <c r="E101" s="7" t="b">
        <v>1</v>
      </c>
      <c r="F101" s="10" t="b">
        <v>1</v>
      </c>
      <c r="G101" s="10" t="b">
        <v>0</v>
      </c>
      <c r="H101" s="17"/>
      <c r="I101" s="9"/>
      <c r="J101" s="6"/>
      <c r="K101" s="9"/>
      <c r="L101" s="8"/>
      <c r="M101" s="8"/>
      <c r="N101" s="8"/>
      <c r="O101" s="8"/>
      <c r="P101" s="47"/>
    </row>
    <row r="102" spans="2:16" ht="27.95" customHeight="1">
      <c r="B102" s="48">
        <v>84</v>
      </c>
      <c r="C102" s="12" t="s">
        <v>31</v>
      </c>
      <c r="D102" s="12" t="s">
        <v>152</v>
      </c>
      <c r="E102" s="13" t="b">
        <v>1</v>
      </c>
      <c r="F102" s="16" t="b">
        <v>1</v>
      </c>
      <c r="G102" s="16" t="b">
        <v>0</v>
      </c>
      <c r="H102" s="17"/>
      <c r="I102" s="15"/>
      <c r="J102" s="12"/>
      <c r="K102" s="15"/>
      <c r="L102" s="14"/>
      <c r="M102" s="14"/>
      <c r="N102" s="14"/>
      <c r="O102" s="14"/>
      <c r="P102" s="49"/>
    </row>
    <row r="103" spans="2:16" ht="15.95" customHeight="1">
      <c r="B103" s="67" t="s">
        <v>153</v>
      </c>
      <c r="C103" s="105"/>
      <c r="D103" s="105"/>
      <c r="E103" s="105"/>
      <c r="F103" s="105"/>
      <c r="G103" s="105"/>
      <c r="H103" s="105"/>
      <c r="I103" s="105"/>
      <c r="J103" s="105"/>
      <c r="K103" s="105"/>
      <c r="L103" s="105"/>
      <c r="M103" s="105"/>
      <c r="N103" s="105"/>
      <c r="O103" s="105"/>
      <c r="P103" s="106"/>
    </row>
    <row r="104" spans="2:16" ht="27.95" customHeight="1">
      <c r="B104" s="44">
        <v>85</v>
      </c>
      <c r="C104" s="2" t="s">
        <v>32</v>
      </c>
      <c r="D104" s="2" t="s">
        <v>154</v>
      </c>
      <c r="E104" s="3" t="b">
        <v>1</v>
      </c>
      <c r="F104" s="11" t="b">
        <v>1</v>
      </c>
      <c r="G104" s="11" t="b">
        <v>1</v>
      </c>
      <c r="H104" s="17"/>
      <c r="I104" s="5"/>
      <c r="J104" s="2"/>
      <c r="K104" s="5"/>
      <c r="L104" s="4"/>
      <c r="M104" s="4"/>
      <c r="N104" s="4"/>
      <c r="O104" s="4"/>
      <c r="P104" s="45"/>
    </row>
    <row r="105" spans="2:16" ht="27.95" customHeight="1">
      <c r="B105" s="46">
        <v>86</v>
      </c>
      <c r="C105" s="6" t="s">
        <v>32</v>
      </c>
      <c r="D105" s="6" t="s">
        <v>155</v>
      </c>
      <c r="E105" s="7" t="b">
        <v>1</v>
      </c>
      <c r="F105" s="10" t="b">
        <v>1</v>
      </c>
      <c r="G105" s="10" t="b">
        <v>1</v>
      </c>
      <c r="H105" s="17"/>
      <c r="I105" s="9"/>
      <c r="J105" s="6"/>
      <c r="K105" s="9"/>
      <c r="L105" s="8"/>
      <c r="M105" s="8"/>
      <c r="N105" s="8"/>
      <c r="O105" s="8"/>
      <c r="P105" s="47"/>
    </row>
    <row r="106" spans="2:16" ht="27.95" customHeight="1">
      <c r="B106" s="46">
        <v>87</v>
      </c>
      <c r="C106" s="6" t="s">
        <v>32</v>
      </c>
      <c r="D106" s="6" t="s">
        <v>156</v>
      </c>
      <c r="E106" s="7" t="b">
        <v>1</v>
      </c>
      <c r="F106" s="10" t="b">
        <v>1</v>
      </c>
      <c r="G106" s="10" t="b">
        <v>1</v>
      </c>
      <c r="H106" s="17"/>
      <c r="I106" s="9"/>
      <c r="J106" s="6"/>
      <c r="K106" s="9"/>
      <c r="L106" s="8"/>
      <c r="M106" s="8"/>
      <c r="N106" s="8"/>
      <c r="O106" s="8"/>
      <c r="P106" s="47"/>
    </row>
    <row r="107" spans="2:16" ht="27.95" customHeight="1">
      <c r="B107" s="46">
        <v>88</v>
      </c>
      <c r="C107" s="6" t="s">
        <v>32</v>
      </c>
      <c r="D107" s="6" t="s">
        <v>157</v>
      </c>
      <c r="E107" s="7" t="b">
        <v>1</v>
      </c>
      <c r="F107" s="10" t="b">
        <v>1</v>
      </c>
      <c r="G107" s="10" t="b">
        <v>1</v>
      </c>
      <c r="H107" s="17"/>
      <c r="I107" s="9"/>
      <c r="J107" s="6"/>
      <c r="K107" s="9"/>
      <c r="L107" s="8"/>
      <c r="M107" s="8"/>
      <c r="N107" s="8"/>
      <c r="O107" s="8"/>
      <c r="P107" s="47"/>
    </row>
    <row r="108" spans="2:16" ht="27.95" customHeight="1">
      <c r="B108" s="46">
        <v>89</v>
      </c>
      <c r="C108" s="6" t="s">
        <v>32</v>
      </c>
      <c r="D108" s="6" t="s">
        <v>158</v>
      </c>
      <c r="E108" s="7" t="b">
        <v>1</v>
      </c>
      <c r="F108" s="10" t="b">
        <v>1</v>
      </c>
      <c r="G108" s="10" t="b">
        <v>1</v>
      </c>
      <c r="H108" s="17"/>
      <c r="I108" s="9"/>
      <c r="J108" s="6"/>
      <c r="K108" s="9"/>
      <c r="L108" s="8"/>
      <c r="M108" s="8"/>
      <c r="N108" s="8"/>
      <c r="O108" s="8"/>
      <c r="P108" s="47"/>
    </row>
    <row r="109" spans="2:16" ht="27.95" customHeight="1">
      <c r="B109" s="46">
        <v>90</v>
      </c>
      <c r="C109" s="6" t="s">
        <v>32</v>
      </c>
      <c r="D109" s="6" t="s">
        <v>159</v>
      </c>
      <c r="E109" s="10" t="b">
        <v>1</v>
      </c>
      <c r="F109" s="10" t="b">
        <v>1</v>
      </c>
      <c r="G109" s="10" t="b">
        <v>0</v>
      </c>
      <c r="H109" s="17"/>
      <c r="I109" s="9"/>
      <c r="J109" s="6"/>
      <c r="K109" s="9"/>
      <c r="L109" s="8"/>
      <c r="M109" s="8"/>
      <c r="N109" s="8"/>
      <c r="O109" s="8"/>
      <c r="P109" s="47"/>
    </row>
    <row r="110" spans="2:16" ht="27.95" customHeight="1">
      <c r="B110" s="46">
        <v>91</v>
      </c>
      <c r="C110" s="6" t="s">
        <v>32</v>
      </c>
      <c r="D110" s="6" t="s">
        <v>160</v>
      </c>
      <c r="E110" s="10" t="b">
        <v>1</v>
      </c>
      <c r="F110" s="10" t="b">
        <v>1</v>
      </c>
      <c r="G110" s="10" t="b">
        <v>0</v>
      </c>
      <c r="H110" s="17"/>
      <c r="I110" s="9"/>
      <c r="J110" s="6"/>
      <c r="K110" s="9"/>
      <c r="L110" s="8"/>
      <c r="M110" s="8"/>
      <c r="N110" s="8"/>
      <c r="O110" s="8"/>
      <c r="P110" s="47"/>
    </row>
    <row r="111" spans="2:16" ht="27.95" customHeight="1">
      <c r="B111" s="46">
        <v>92</v>
      </c>
      <c r="C111" s="6" t="s">
        <v>32</v>
      </c>
      <c r="D111" s="6" t="s">
        <v>161</v>
      </c>
      <c r="E111" s="10" t="b">
        <v>1</v>
      </c>
      <c r="F111" s="10" t="b">
        <v>1</v>
      </c>
      <c r="G111" s="10" t="b">
        <v>0</v>
      </c>
      <c r="H111" s="17"/>
      <c r="I111" s="9"/>
      <c r="J111" s="6"/>
      <c r="K111" s="9"/>
      <c r="L111" s="8"/>
      <c r="M111" s="8"/>
      <c r="N111" s="8"/>
      <c r="O111" s="8"/>
      <c r="P111" s="47"/>
    </row>
    <row r="112" spans="2:16" ht="27.95" customHeight="1">
      <c r="B112" s="46">
        <v>93</v>
      </c>
      <c r="C112" s="6" t="s">
        <v>32</v>
      </c>
      <c r="D112" s="6" t="s">
        <v>162</v>
      </c>
      <c r="E112" s="10" t="b">
        <v>1</v>
      </c>
      <c r="F112" s="10" t="b">
        <v>1</v>
      </c>
      <c r="G112" s="10" t="b">
        <v>0</v>
      </c>
      <c r="H112" s="17"/>
      <c r="I112" s="9"/>
      <c r="J112" s="6"/>
      <c r="K112" s="9"/>
      <c r="L112" s="8"/>
      <c r="M112" s="8"/>
      <c r="N112" s="8"/>
      <c r="O112" s="8"/>
      <c r="P112" s="47"/>
    </row>
    <row r="113" spans="2:16" ht="27.95" customHeight="1">
      <c r="B113" s="48">
        <v>94</v>
      </c>
      <c r="C113" s="12" t="s">
        <v>32</v>
      </c>
      <c r="D113" s="12" t="s">
        <v>163</v>
      </c>
      <c r="E113" s="16" t="b">
        <v>1</v>
      </c>
      <c r="F113" s="16" t="b">
        <v>1</v>
      </c>
      <c r="G113" s="16" t="b">
        <v>0</v>
      </c>
      <c r="H113" s="17"/>
      <c r="I113" s="15"/>
      <c r="J113" s="12"/>
      <c r="K113" s="15"/>
      <c r="L113" s="14"/>
      <c r="M113" s="14"/>
      <c r="N113" s="14"/>
      <c r="O113" s="14"/>
      <c r="P113" s="49"/>
    </row>
    <row r="114" spans="2:16" ht="15.95" customHeight="1">
      <c r="B114" s="67" t="s">
        <v>164</v>
      </c>
      <c r="C114" s="105"/>
      <c r="D114" s="105"/>
      <c r="E114" s="105"/>
      <c r="F114" s="105"/>
      <c r="G114" s="105"/>
      <c r="H114" s="105"/>
      <c r="I114" s="105"/>
      <c r="J114" s="105"/>
      <c r="K114" s="105"/>
      <c r="L114" s="105"/>
      <c r="M114" s="105"/>
      <c r="N114" s="105"/>
      <c r="O114" s="105"/>
      <c r="P114" s="106"/>
    </row>
    <row r="115" spans="2:16" ht="27.95" customHeight="1">
      <c r="B115" s="44">
        <v>95</v>
      </c>
      <c r="C115" s="2" t="s">
        <v>33</v>
      </c>
      <c r="D115" s="2" t="s">
        <v>165</v>
      </c>
      <c r="E115" s="11" t="b">
        <v>1</v>
      </c>
      <c r="F115" s="11" t="b">
        <v>0</v>
      </c>
      <c r="G115" s="11" t="b">
        <v>1</v>
      </c>
      <c r="H115" s="17"/>
      <c r="I115" s="5"/>
      <c r="J115" s="2"/>
      <c r="K115" s="5"/>
      <c r="L115" s="4"/>
      <c r="M115" s="4"/>
      <c r="N115" s="4"/>
      <c r="O115" s="4"/>
      <c r="P115" s="45"/>
    </row>
    <row r="116" spans="2:16" ht="27.95" customHeight="1">
      <c r="B116" s="46">
        <v>96</v>
      </c>
      <c r="C116" s="6" t="s">
        <v>33</v>
      </c>
      <c r="D116" s="6" t="s">
        <v>166</v>
      </c>
      <c r="E116" s="10" t="b">
        <v>1</v>
      </c>
      <c r="F116" s="10" t="b">
        <v>0</v>
      </c>
      <c r="G116" s="10" t="b">
        <v>1</v>
      </c>
      <c r="H116" s="17"/>
      <c r="I116" s="9"/>
      <c r="J116" s="6"/>
      <c r="K116" s="9"/>
      <c r="L116" s="8"/>
      <c r="M116" s="8"/>
      <c r="N116" s="8"/>
      <c r="O116" s="8"/>
      <c r="P116" s="47"/>
    </row>
    <row r="117" spans="2:16" ht="27.95" customHeight="1">
      <c r="B117" s="46">
        <v>97</v>
      </c>
      <c r="C117" s="6" t="s">
        <v>33</v>
      </c>
      <c r="D117" s="6" t="s">
        <v>167</v>
      </c>
      <c r="E117" s="10" t="b">
        <v>1</v>
      </c>
      <c r="F117" s="10" t="b">
        <v>0</v>
      </c>
      <c r="G117" s="10" t="b">
        <v>1</v>
      </c>
      <c r="H117" s="17"/>
      <c r="I117" s="9"/>
      <c r="J117" s="6"/>
      <c r="K117" s="9"/>
      <c r="L117" s="8"/>
      <c r="M117" s="8"/>
      <c r="N117" s="8"/>
      <c r="O117" s="8"/>
      <c r="P117" s="47"/>
    </row>
    <row r="118" spans="2:16" ht="27.95" customHeight="1">
      <c r="B118" s="46">
        <v>98</v>
      </c>
      <c r="C118" s="6" t="s">
        <v>33</v>
      </c>
      <c r="D118" s="6" t="s">
        <v>168</v>
      </c>
      <c r="E118" s="10" t="b">
        <v>1</v>
      </c>
      <c r="F118" s="10" t="b">
        <v>0</v>
      </c>
      <c r="G118" s="10" t="b">
        <v>1</v>
      </c>
      <c r="H118" s="17"/>
      <c r="I118" s="9"/>
      <c r="J118" s="6"/>
      <c r="K118" s="9"/>
      <c r="L118" s="8"/>
      <c r="M118" s="8"/>
      <c r="N118" s="8"/>
      <c r="O118" s="8"/>
      <c r="P118" s="47"/>
    </row>
    <row r="119" spans="2:16" ht="27.95" customHeight="1">
      <c r="B119" s="46">
        <v>99</v>
      </c>
      <c r="C119" s="6" t="s">
        <v>33</v>
      </c>
      <c r="D119" s="6" t="s">
        <v>169</v>
      </c>
      <c r="E119" s="10" t="b">
        <v>1</v>
      </c>
      <c r="F119" s="10" t="b">
        <v>0</v>
      </c>
      <c r="G119" s="10" t="b">
        <v>1</v>
      </c>
      <c r="H119" s="17"/>
      <c r="I119" s="9"/>
      <c r="J119" s="6"/>
      <c r="K119" s="9"/>
      <c r="L119" s="8"/>
      <c r="M119" s="8"/>
      <c r="N119" s="8"/>
      <c r="O119" s="8"/>
      <c r="P119" s="47"/>
    </row>
    <row r="120" spans="2:16" ht="27.95" customHeight="1">
      <c r="B120" s="46">
        <v>100</v>
      </c>
      <c r="C120" s="6" t="s">
        <v>33</v>
      </c>
      <c r="D120" s="6" t="s">
        <v>170</v>
      </c>
      <c r="E120" s="10" t="b">
        <v>1</v>
      </c>
      <c r="F120" s="10" t="b">
        <v>1</v>
      </c>
      <c r="G120" s="10" t="b">
        <v>0</v>
      </c>
      <c r="H120" s="17"/>
      <c r="I120" s="9"/>
      <c r="J120" s="6"/>
      <c r="K120" s="9"/>
      <c r="L120" s="8"/>
      <c r="M120" s="8"/>
      <c r="N120" s="8"/>
      <c r="O120" s="8"/>
      <c r="P120" s="47"/>
    </row>
    <row r="121" spans="2:16" ht="27.95" customHeight="1">
      <c r="B121" s="46">
        <v>101</v>
      </c>
      <c r="C121" s="6" t="s">
        <v>33</v>
      </c>
      <c r="D121" s="6" t="s">
        <v>171</v>
      </c>
      <c r="E121" s="10" t="b">
        <v>1</v>
      </c>
      <c r="F121" s="10" t="b">
        <v>1</v>
      </c>
      <c r="G121" s="10" t="b">
        <v>0</v>
      </c>
      <c r="H121" s="17"/>
      <c r="I121" s="9"/>
      <c r="J121" s="6"/>
      <c r="K121" s="9"/>
      <c r="L121" s="8"/>
      <c r="M121" s="8"/>
      <c r="N121" s="8"/>
      <c r="O121" s="8"/>
      <c r="P121" s="47"/>
    </row>
    <row r="122" spans="2:16" ht="27.95" customHeight="1">
      <c r="B122" s="46">
        <v>102</v>
      </c>
      <c r="C122" s="6" t="s">
        <v>33</v>
      </c>
      <c r="D122" s="6" t="s">
        <v>172</v>
      </c>
      <c r="E122" s="10" t="b">
        <v>1</v>
      </c>
      <c r="F122" s="10" t="b">
        <v>1</v>
      </c>
      <c r="G122" s="10" t="b">
        <v>0</v>
      </c>
      <c r="H122" s="17"/>
      <c r="I122" s="9"/>
      <c r="J122" s="6"/>
      <c r="K122" s="9"/>
      <c r="L122" s="8"/>
      <c r="M122" s="8"/>
      <c r="N122" s="8"/>
      <c r="O122" s="8"/>
      <c r="P122" s="47"/>
    </row>
    <row r="123" spans="2:16" ht="27.95" customHeight="1">
      <c r="B123" s="46">
        <v>103</v>
      </c>
      <c r="C123" s="6" t="s">
        <v>33</v>
      </c>
      <c r="D123" s="6" t="s">
        <v>173</v>
      </c>
      <c r="E123" s="10" t="b">
        <v>1</v>
      </c>
      <c r="F123" s="10" t="b">
        <v>1</v>
      </c>
      <c r="G123" s="10" t="b">
        <v>0</v>
      </c>
      <c r="H123" s="17"/>
      <c r="I123" s="9"/>
      <c r="J123" s="6"/>
      <c r="K123" s="9"/>
      <c r="L123" s="8"/>
      <c r="M123" s="8"/>
      <c r="N123" s="8"/>
      <c r="O123" s="8"/>
      <c r="P123" s="47"/>
    </row>
    <row r="124" spans="2:16" ht="27.95" customHeight="1">
      <c r="B124" s="48">
        <v>104</v>
      </c>
      <c r="C124" s="12" t="s">
        <v>33</v>
      </c>
      <c r="D124" s="12" t="s">
        <v>174</v>
      </c>
      <c r="E124" s="16" t="b">
        <v>1</v>
      </c>
      <c r="F124" s="16" t="b">
        <v>1</v>
      </c>
      <c r="G124" s="16" t="b">
        <v>0</v>
      </c>
      <c r="H124" s="17"/>
      <c r="I124" s="15"/>
      <c r="J124" s="12"/>
      <c r="K124" s="15"/>
      <c r="L124" s="14"/>
      <c r="M124" s="14"/>
      <c r="N124" s="14"/>
      <c r="O124" s="14"/>
      <c r="P124" s="49"/>
    </row>
    <row r="125" spans="2:16" ht="15.95" customHeight="1">
      <c r="B125" s="67" t="s">
        <v>175</v>
      </c>
      <c r="C125" s="105"/>
      <c r="D125" s="105"/>
      <c r="E125" s="105"/>
      <c r="F125" s="105"/>
      <c r="G125" s="105"/>
      <c r="H125" s="105"/>
      <c r="I125" s="105"/>
      <c r="J125" s="105"/>
      <c r="K125" s="105"/>
      <c r="L125" s="105"/>
      <c r="M125" s="105"/>
      <c r="N125" s="105"/>
      <c r="O125" s="105"/>
      <c r="P125" s="106"/>
    </row>
    <row r="126" spans="2:16" ht="27.95" customHeight="1">
      <c r="B126" s="44">
        <v>105</v>
      </c>
      <c r="C126" s="2" t="s">
        <v>34</v>
      </c>
      <c r="D126" s="2" t="s">
        <v>176</v>
      </c>
      <c r="E126" s="11" t="b">
        <v>1</v>
      </c>
      <c r="F126" s="11" t="b">
        <v>0</v>
      </c>
      <c r="G126" s="11" t="b">
        <v>1</v>
      </c>
      <c r="H126" s="17"/>
      <c r="I126" s="5"/>
      <c r="J126" s="2"/>
      <c r="K126" s="5"/>
      <c r="L126" s="4"/>
      <c r="M126" s="4"/>
      <c r="N126" s="4"/>
      <c r="O126" s="4"/>
      <c r="P126" s="45"/>
    </row>
    <row r="127" spans="2:16" ht="27.95" customHeight="1">
      <c r="B127" s="46">
        <v>106</v>
      </c>
      <c r="C127" s="6" t="s">
        <v>34</v>
      </c>
      <c r="D127" s="6" t="s">
        <v>177</v>
      </c>
      <c r="E127" s="10" t="b">
        <v>1</v>
      </c>
      <c r="F127" s="10" t="b">
        <v>0</v>
      </c>
      <c r="G127" s="10" t="b">
        <v>1</v>
      </c>
      <c r="H127" s="17"/>
      <c r="I127" s="9"/>
      <c r="J127" s="6"/>
      <c r="K127" s="9"/>
      <c r="L127" s="8"/>
      <c r="M127" s="8"/>
      <c r="N127" s="8"/>
      <c r="O127" s="8"/>
      <c r="P127" s="47"/>
    </row>
    <row r="128" spans="2:16" ht="27.95" customHeight="1">
      <c r="B128" s="46">
        <v>107</v>
      </c>
      <c r="C128" s="6" t="s">
        <v>34</v>
      </c>
      <c r="D128" s="6" t="s">
        <v>178</v>
      </c>
      <c r="E128" s="10" t="b">
        <v>1</v>
      </c>
      <c r="F128" s="10" t="b">
        <v>0</v>
      </c>
      <c r="G128" s="10" t="b">
        <v>1</v>
      </c>
      <c r="H128" s="17"/>
      <c r="I128" s="9"/>
      <c r="J128" s="6"/>
      <c r="K128" s="9"/>
      <c r="L128" s="8"/>
      <c r="M128" s="8"/>
      <c r="N128" s="8"/>
      <c r="O128" s="8"/>
      <c r="P128" s="47"/>
    </row>
    <row r="129" spans="2:16" ht="27.95" customHeight="1">
      <c r="B129" s="46">
        <v>108</v>
      </c>
      <c r="C129" s="6" t="s">
        <v>34</v>
      </c>
      <c r="D129" s="6" t="s">
        <v>179</v>
      </c>
      <c r="E129" s="10" t="b">
        <v>1</v>
      </c>
      <c r="F129" s="10" t="b">
        <v>0</v>
      </c>
      <c r="G129" s="10" t="b">
        <v>1</v>
      </c>
      <c r="H129" s="17"/>
      <c r="I129" s="9"/>
      <c r="J129" s="6"/>
      <c r="K129" s="9"/>
      <c r="L129" s="8"/>
      <c r="M129" s="8"/>
      <c r="N129" s="8"/>
      <c r="O129" s="8"/>
      <c r="P129" s="47"/>
    </row>
    <row r="130" spans="2:16" ht="27.95" customHeight="1">
      <c r="B130" s="46">
        <v>109</v>
      </c>
      <c r="C130" s="6" t="s">
        <v>34</v>
      </c>
      <c r="D130" s="6" t="s">
        <v>180</v>
      </c>
      <c r="E130" s="10" t="b">
        <v>1</v>
      </c>
      <c r="F130" s="10" t="b">
        <v>0</v>
      </c>
      <c r="G130" s="10" t="b">
        <v>1</v>
      </c>
      <c r="H130" s="17"/>
      <c r="I130" s="9"/>
      <c r="J130" s="6"/>
      <c r="K130" s="9"/>
      <c r="L130" s="8"/>
      <c r="M130" s="8"/>
      <c r="N130" s="8"/>
      <c r="O130" s="8"/>
      <c r="P130" s="47"/>
    </row>
    <row r="131" spans="2:16" ht="27.95" customHeight="1">
      <c r="B131" s="46">
        <v>110</v>
      </c>
      <c r="C131" s="6" t="s">
        <v>34</v>
      </c>
      <c r="D131" s="6" t="s">
        <v>181</v>
      </c>
      <c r="E131" s="10" t="b">
        <v>1</v>
      </c>
      <c r="F131" s="10" t="b">
        <v>1</v>
      </c>
      <c r="G131" s="10" t="b">
        <v>0</v>
      </c>
      <c r="H131" s="17"/>
      <c r="I131" s="9"/>
      <c r="J131" s="6"/>
      <c r="K131" s="9"/>
      <c r="L131" s="8"/>
      <c r="M131" s="8"/>
      <c r="N131" s="8"/>
      <c r="O131" s="8"/>
      <c r="P131" s="47"/>
    </row>
    <row r="132" spans="2:16" ht="27.95" customHeight="1">
      <c r="B132" s="46">
        <v>111</v>
      </c>
      <c r="C132" s="6" t="s">
        <v>34</v>
      </c>
      <c r="D132" s="6" t="s">
        <v>182</v>
      </c>
      <c r="E132" s="10" t="b">
        <v>1</v>
      </c>
      <c r="F132" s="10" t="b">
        <v>1</v>
      </c>
      <c r="G132" s="10" t="b">
        <v>0</v>
      </c>
      <c r="H132" s="17"/>
      <c r="I132" s="9"/>
      <c r="J132" s="6"/>
      <c r="K132" s="9"/>
      <c r="L132" s="8"/>
      <c r="M132" s="8"/>
      <c r="N132" s="8"/>
      <c r="O132" s="8"/>
      <c r="P132" s="47"/>
    </row>
    <row r="133" spans="2:16" ht="27.95" customHeight="1">
      <c r="B133" s="46">
        <v>112</v>
      </c>
      <c r="C133" s="6" t="s">
        <v>34</v>
      </c>
      <c r="D133" s="6" t="s">
        <v>183</v>
      </c>
      <c r="E133" s="10" t="b">
        <v>1</v>
      </c>
      <c r="F133" s="10" t="b">
        <v>1</v>
      </c>
      <c r="G133" s="10" t="b">
        <v>0</v>
      </c>
      <c r="H133" s="17"/>
      <c r="I133" s="9"/>
      <c r="J133" s="6"/>
      <c r="K133" s="9"/>
      <c r="L133" s="8"/>
      <c r="M133" s="8"/>
      <c r="N133" s="8"/>
      <c r="O133" s="8"/>
      <c r="P133" s="47"/>
    </row>
    <row r="134" spans="2:16" ht="27.95" customHeight="1">
      <c r="B134" s="46">
        <v>113</v>
      </c>
      <c r="C134" s="6" t="s">
        <v>34</v>
      </c>
      <c r="D134" s="6" t="s">
        <v>184</v>
      </c>
      <c r="E134" s="10" t="b">
        <v>1</v>
      </c>
      <c r="F134" s="10" t="b">
        <v>1</v>
      </c>
      <c r="G134" s="10" t="b">
        <v>0</v>
      </c>
      <c r="H134" s="17"/>
      <c r="I134" s="9"/>
      <c r="J134" s="6"/>
      <c r="K134" s="9"/>
      <c r="L134" s="8"/>
      <c r="M134" s="8"/>
      <c r="N134" s="8"/>
      <c r="O134" s="8"/>
      <c r="P134" s="47"/>
    </row>
    <row r="135" spans="2:16" ht="27.95" customHeight="1">
      <c r="B135" s="48">
        <v>114</v>
      </c>
      <c r="C135" s="12" t="s">
        <v>34</v>
      </c>
      <c r="D135" s="12" t="s">
        <v>185</v>
      </c>
      <c r="E135" s="16" t="b">
        <v>1</v>
      </c>
      <c r="F135" s="16" t="b">
        <v>1</v>
      </c>
      <c r="G135" s="16" t="b">
        <v>0</v>
      </c>
      <c r="H135" s="17"/>
      <c r="I135" s="15"/>
      <c r="J135" s="12"/>
      <c r="K135" s="15"/>
      <c r="L135" s="14"/>
      <c r="M135" s="14"/>
      <c r="N135" s="14"/>
      <c r="O135" s="14"/>
      <c r="P135" s="49"/>
    </row>
    <row r="136" spans="2:16" ht="15.95" customHeight="1">
      <c r="B136" s="67" t="s">
        <v>186</v>
      </c>
      <c r="C136" s="105"/>
      <c r="D136" s="105"/>
      <c r="E136" s="105"/>
      <c r="F136" s="105"/>
      <c r="G136" s="105"/>
      <c r="H136" s="105"/>
      <c r="I136" s="105"/>
      <c r="J136" s="105"/>
      <c r="K136" s="105"/>
      <c r="L136" s="105"/>
      <c r="M136" s="105"/>
      <c r="N136" s="105"/>
      <c r="O136" s="105"/>
      <c r="P136" s="106"/>
    </row>
    <row r="137" spans="2:16" ht="27.95" customHeight="1">
      <c r="B137" s="44">
        <v>115</v>
      </c>
      <c r="C137" s="2" t="s">
        <v>35</v>
      </c>
      <c r="D137" s="2" t="s">
        <v>187</v>
      </c>
      <c r="E137" s="11" t="b">
        <v>1</v>
      </c>
      <c r="F137" s="11" t="b">
        <v>0</v>
      </c>
      <c r="G137" s="11" t="b">
        <v>1</v>
      </c>
      <c r="H137" s="17"/>
      <c r="I137" s="5"/>
      <c r="J137" s="2"/>
      <c r="K137" s="5"/>
      <c r="L137" s="4"/>
      <c r="M137" s="4"/>
      <c r="N137" s="4"/>
      <c r="O137" s="4"/>
      <c r="P137" s="45"/>
    </row>
    <row r="138" spans="2:16" ht="27.95" customHeight="1">
      <c r="B138" s="46">
        <v>116</v>
      </c>
      <c r="C138" s="6" t="s">
        <v>35</v>
      </c>
      <c r="D138" s="6" t="s">
        <v>188</v>
      </c>
      <c r="E138" s="10" t="b">
        <v>1</v>
      </c>
      <c r="F138" s="10" t="b">
        <v>0</v>
      </c>
      <c r="G138" s="10" t="b">
        <v>1</v>
      </c>
      <c r="H138" s="17"/>
      <c r="I138" s="9"/>
      <c r="J138" s="6"/>
      <c r="K138" s="9"/>
      <c r="L138" s="8"/>
      <c r="M138" s="8"/>
      <c r="N138" s="8"/>
      <c r="O138" s="8"/>
      <c r="P138" s="47"/>
    </row>
    <row r="139" spans="2:16" ht="27.95" customHeight="1">
      <c r="B139" s="46">
        <v>117</v>
      </c>
      <c r="C139" s="6" t="s">
        <v>35</v>
      </c>
      <c r="D139" s="6" t="s">
        <v>189</v>
      </c>
      <c r="E139" s="10" t="b">
        <v>1</v>
      </c>
      <c r="F139" s="10" t="b">
        <v>0</v>
      </c>
      <c r="G139" s="10" t="b">
        <v>1</v>
      </c>
      <c r="H139" s="17"/>
      <c r="I139" s="9"/>
      <c r="J139" s="6"/>
      <c r="K139" s="9"/>
      <c r="L139" s="8"/>
      <c r="M139" s="8"/>
      <c r="N139" s="8"/>
      <c r="O139" s="8"/>
      <c r="P139" s="47"/>
    </row>
    <row r="140" spans="2:16" ht="27.95" customHeight="1">
      <c r="B140" s="46">
        <v>118</v>
      </c>
      <c r="C140" s="6" t="s">
        <v>35</v>
      </c>
      <c r="D140" s="6" t="s">
        <v>190</v>
      </c>
      <c r="E140" s="10" t="b">
        <v>1</v>
      </c>
      <c r="F140" s="10" t="b">
        <v>0</v>
      </c>
      <c r="G140" s="10" t="b">
        <v>1</v>
      </c>
      <c r="H140" s="17"/>
      <c r="I140" s="9"/>
      <c r="J140" s="6"/>
      <c r="K140" s="9"/>
      <c r="L140" s="8"/>
      <c r="M140" s="8"/>
      <c r="N140" s="8"/>
      <c r="O140" s="8"/>
      <c r="P140" s="47"/>
    </row>
    <row r="141" spans="2:16" ht="27.95" customHeight="1">
      <c r="B141" s="48">
        <v>119</v>
      </c>
      <c r="C141" s="12" t="s">
        <v>35</v>
      </c>
      <c r="D141" s="12" t="s">
        <v>191</v>
      </c>
      <c r="E141" s="16" t="b">
        <v>1</v>
      </c>
      <c r="F141" s="16" t="b">
        <v>0</v>
      </c>
      <c r="G141" s="16" t="b">
        <v>1</v>
      </c>
      <c r="H141" s="17"/>
      <c r="I141" s="15"/>
      <c r="J141" s="12"/>
      <c r="K141" s="15"/>
      <c r="L141" s="14"/>
      <c r="M141" s="14"/>
      <c r="N141" s="14"/>
      <c r="O141" s="14"/>
      <c r="P141" s="49"/>
    </row>
    <row r="142" spans="2:16" ht="15.95" customHeight="1">
      <c r="B142" s="67" t="s">
        <v>192</v>
      </c>
      <c r="C142" s="105"/>
      <c r="D142" s="105"/>
      <c r="E142" s="105"/>
      <c r="F142" s="105"/>
      <c r="G142" s="105"/>
      <c r="H142" s="105"/>
      <c r="I142" s="105"/>
      <c r="J142" s="105"/>
      <c r="K142" s="105"/>
      <c r="L142" s="105"/>
      <c r="M142" s="105"/>
      <c r="N142" s="105"/>
      <c r="O142" s="105"/>
      <c r="P142" s="106"/>
    </row>
    <row r="143" spans="2:16" ht="27.95" customHeight="1">
      <c r="B143" s="44">
        <v>120</v>
      </c>
      <c r="C143" s="2" t="s">
        <v>36</v>
      </c>
      <c r="D143" s="2" t="s">
        <v>193</v>
      </c>
      <c r="E143" s="11" t="b">
        <v>1</v>
      </c>
      <c r="F143" s="11" t="b">
        <v>0</v>
      </c>
      <c r="G143" s="11" t="b">
        <v>1</v>
      </c>
      <c r="H143" s="17"/>
      <c r="I143" s="5"/>
      <c r="J143" s="2"/>
      <c r="K143" s="5"/>
      <c r="L143" s="4"/>
      <c r="M143" s="4"/>
      <c r="N143" s="4"/>
      <c r="O143" s="4"/>
      <c r="P143" s="45"/>
    </row>
    <row r="144" spans="2:16" ht="27.95" customHeight="1">
      <c r="B144" s="46">
        <v>121</v>
      </c>
      <c r="C144" s="6" t="s">
        <v>36</v>
      </c>
      <c r="D144" s="6" t="s">
        <v>194</v>
      </c>
      <c r="E144" s="10" t="b">
        <v>1</v>
      </c>
      <c r="F144" s="10" t="b">
        <v>0</v>
      </c>
      <c r="G144" s="10" t="b">
        <v>1</v>
      </c>
      <c r="H144" s="17"/>
      <c r="I144" s="9"/>
      <c r="J144" s="6"/>
      <c r="K144" s="9"/>
      <c r="L144" s="8"/>
      <c r="M144" s="8"/>
      <c r="N144" s="8"/>
      <c r="O144" s="8"/>
      <c r="P144" s="47"/>
    </row>
    <row r="145" spans="2:16" ht="27.95" customHeight="1">
      <c r="B145" s="46">
        <v>122</v>
      </c>
      <c r="C145" s="6" t="s">
        <v>36</v>
      </c>
      <c r="D145" s="6" t="s">
        <v>195</v>
      </c>
      <c r="E145" s="10" t="b">
        <v>1</v>
      </c>
      <c r="F145" s="10" t="b">
        <v>0</v>
      </c>
      <c r="G145" s="10" t="b">
        <v>1</v>
      </c>
      <c r="H145" s="17"/>
      <c r="I145" s="9"/>
      <c r="J145" s="6"/>
      <c r="K145" s="9"/>
      <c r="L145" s="8"/>
      <c r="M145" s="8"/>
      <c r="N145" s="8"/>
      <c r="O145" s="8"/>
      <c r="P145" s="47"/>
    </row>
    <row r="146" spans="2:16" ht="27.95" customHeight="1">
      <c r="B146" s="46">
        <v>123</v>
      </c>
      <c r="C146" s="6" t="s">
        <v>36</v>
      </c>
      <c r="D146" s="6" t="s">
        <v>196</v>
      </c>
      <c r="E146" s="10" t="b">
        <v>1</v>
      </c>
      <c r="F146" s="10" t="b">
        <v>0</v>
      </c>
      <c r="G146" s="10" t="b">
        <v>1</v>
      </c>
      <c r="H146" s="17"/>
      <c r="I146" s="9"/>
      <c r="J146" s="6"/>
      <c r="K146" s="9"/>
      <c r="L146" s="8"/>
      <c r="M146" s="8"/>
      <c r="N146" s="8"/>
      <c r="O146" s="8"/>
      <c r="P146" s="47"/>
    </row>
    <row r="147" spans="2:16" ht="27.95" customHeight="1">
      <c r="B147" s="46">
        <v>124</v>
      </c>
      <c r="C147" s="6" t="s">
        <v>36</v>
      </c>
      <c r="D147" s="6" t="s">
        <v>197</v>
      </c>
      <c r="E147" s="10" t="b">
        <v>1</v>
      </c>
      <c r="F147" s="10" t="b">
        <v>0</v>
      </c>
      <c r="G147" s="10" t="b">
        <v>1</v>
      </c>
      <c r="H147" s="17"/>
      <c r="I147" s="9"/>
      <c r="J147" s="6"/>
      <c r="K147" s="9"/>
      <c r="L147" s="8"/>
      <c r="M147" s="8"/>
      <c r="N147" s="8"/>
      <c r="O147" s="8"/>
      <c r="P147" s="47"/>
    </row>
    <row r="148" spans="2:16" ht="27.95" customHeight="1">
      <c r="B148" s="46">
        <v>125</v>
      </c>
      <c r="C148" s="6" t="s">
        <v>36</v>
      </c>
      <c r="D148" s="6" t="s">
        <v>198</v>
      </c>
      <c r="E148" s="10" t="b">
        <v>1</v>
      </c>
      <c r="F148" s="10" t="b">
        <v>1</v>
      </c>
      <c r="G148" s="10" t="b">
        <v>0</v>
      </c>
      <c r="H148" s="17"/>
      <c r="I148" s="9"/>
      <c r="J148" s="6"/>
      <c r="K148" s="9"/>
      <c r="L148" s="8"/>
      <c r="M148" s="8"/>
      <c r="N148" s="8"/>
      <c r="O148" s="8"/>
      <c r="P148" s="47"/>
    </row>
    <row r="149" spans="2:16" ht="27.95" customHeight="1">
      <c r="B149" s="46">
        <v>126</v>
      </c>
      <c r="C149" s="6" t="s">
        <v>36</v>
      </c>
      <c r="D149" s="6" t="s">
        <v>199</v>
      </c>
      <c r="E149" s="10" t="b">
        <v>1</v>
      </c>
      <c r="F149" s="10" t="b">
        <v>1</v>
      </c>
      <c r="G149" s="10" t="b">
        <v>0</v>
      </c>
      <c r="H149" s="17"/>
      <c r="I149" s="9"/>
      <c r="J149" s="6"/>
      <c r="K149" s="9"/>
      <c r="L149" s="8"/>
      <c r="M149" s="8"/>
      <c r="N149" s="8"/>
      <c r="O149" s="8"/>
      <c r="P149" s="47"/>
    </row>
    <row r="150" spans="2:16" ht="27.95" customHeight="1">
      <c r="B150" s="46">
        <v>127</v>
      </c>
      <c r="C150" s="6" t="s">
        <v>36</v>
      </c>
      <c r="D150" s="6" t="s">
        <v>200</v>
      </c>
      <c r="E150" s="10" t="b">
        <v>1</v>
      </c>
      <c r="F150" s="10" t="b">
        <v>1</v>
      </c>
      <c r="G150" s="10" t="b">
        <v>0</v>
      </c>
      <c r="H150" s="17"/>
      <c r="I150" s="9"/>
      <c r="J150" s="6"/>
      <c r="K150" s="9"/>
      <c r="L150" s="8"/>
      <c r="M150" s="8"/>
      <c r="N150" s="8"/>
      <c r="O150" s="8"/>
      <c r="P150" s="47"/>
    </row>
    <row r="151" spans="2:16" ht="27.95" customHeight="1">
      <c r="B151" s="46">
        <v>128</v>
      </c>
      <c r="C151" s="6" t="s">
        <v>36</v>
      </c>
      <c r="D151" s="6" t="s">
        <v>201</v>
      </c>
      <c r="E151" s="10" t="b">
        <v>1</v>
      </c>
      <c r="F151" s="10" t="b">
        <v>1</v>
      </c>
      <c r="G151" s="10" t="b">
        <v>0</v>
      </c>
      <c r="H151" s="17"/>
      <c r="I151" s="9"/>
      <c r="J151" s="6"/>
      <c r="K151" s="9"/>
      <c r="L151" s="8"/>
      <c r="M151" s="8"/>
      <c r="N151" s="8"/>
      <c r="O151" s="8"/>
      <c r="P151" s="47"/>
    </row>
    <row r="152" spans="2:16" ht="27.95" customHeight="1">
      <c r="B152" s="46">
        <v>129</v>
      </c>
      <c r="C152" s="6" t="s">
        <v>36</v>
      </c>
      <c r="D152" s="6" t="s">
        <v>202</v>
      </c>
      <c r="E152" s="10" t="b">
        <v>1</v>
      </c>
      <c r="F152" s="10" t="b">
        <v>1</v>
      </c>
      <c r="G152" s="10" t="b">
        <v>0</v>
      </c>
      <c r="H152" s="17"/>
      <c r="I152" s="9"/>
      <c r="J152" s="6"/>
      <c r="K152" s="9"/>
      <c r="L152" s="8"/>
      <c r="M152" s="8"/>
      <c r="N152" s="8"/>
      <c r="O152" s="8"/>
      <c r="P152" s="47"/>
    </row>
    <row r="153" spans="2:16" ht="27.95" customHeight="1">
      <c r="B153" s="46">
        <v>130</v>
      </c>
      <c r="C153" s="6" t="s">
        <v>36</v>
      </c>
      <c r="D153" s="6" t="s">
        <v>203</v>
      </c>
      <c r="E153" s="10" t="b">
        <v>1</v>
      </c>
      <c r="F153" s="10" t="b">
        <v>1</v>
      </c>
      <c r="G153" s="10" t="b">
        <v>0</v>
      </c>
      <c r="H153" s="17"/>
      <c r="I153" s="9"/>
      <c r="J153" s="6"/>
      <c r="K153" s="9"/>
      <c r="L153" s="8"/>
      <c r="M153" s="8"/>
      <c r="N153" s="8"/>
      <c r="O153" s="8"/>
      <c r="P153" s="47"/>
    </row>
    <row r="154" spans="2:16" ht="27.95" customHeight="1">
      <c r="B154" s="46">
        <v>131</v>
      </c>
      <c r="C154" s="6" t="s">
        <v>36</v>
      </c>
      <c r="D154" s="6" t="s">
        <v>204</v>
      </c>
      <c r="E154" s="10" t="b">
        <v>1</v>
      </c>
      <c r="F154" s="10" t="b">
        <v>1</v>
      </c>
      <c r="G154" s="10" t="b">
        <v>0</v>
      </c>
      <c r="H154" s="17"/>
      <c r="I154" s="9"/>
      <c r="J154" s="6"/>
      <c r="K154" s="9"/>
      <c r="L154" s="8"/>
      <c r="M154" s="8"/>
      <c r="N154" s="8"/>
      <c r="O154" s="8"/>
      <c r="P154" s="47"/>
    </row>
    <row r="155" spans="2:16" ht="27.95" customHeight="1">
      <c r="B155" s="46">
        <v>132</v>
      </c>
      <c r="C155" s="6" t="s">
        <v>36</v>
      </c>
      <c r="D155" s="6" t="s">
        <v>205</v>
      </c>
      <c r="E155" s="10" t="b">
        <v>1</v>
      </c>
      <c r="F155" s="10" t="b">
        <v>1</v>
      </c>
      <c r="G155" s="10" t="b">
        <v>0</v>
      </c>
      <c r="H155" s="17"/>
      <c r="I155" s="9"/>
      <c r="J155" s="6"/>
      <c r="K155" s="9"/>
      <c r="L155" s="8"/>
      <c r="M155" s="8"/>
      <c r="N155" s="8"/>
      <c r="O155" s="8"/>
      <c r="P155" s="47"/>
    </row>
    <row r="156" spans="2:16" ht="27.95" customHeight="1">
      <c r="B156" s="48">
        <v>133</v>
      </c>
      <c r="C156" s="12" t="s">
        <v>36</v>
      </c>
      <c r="D156" s="12" t="s">
        <v>206</v>
      </c>
      <c r="E156" s="16" t="b">
        <v>1</v>
      </c>
      <c r="F156" s="16" t="b">
        <v>1</v>
      </c>
      <c r="G156" s="16" t="b">
        <v>0</v>
      </c>
      <c r="H156" s="17"/>
      <c r="I156" s="15"/>
      <c r="J156" s="12"/>
      <c r="K156" s="15"/>
      <c r="L156" s="14"/>
      <c r="M156" s="14"/>
      <c r="N156" s="14"/>
      <c r="O156" s="14"/>
      <c r="P156" s="49"/>
    </row>
    <row r="157" spans="2:16" ht="15.95" customHeight="1">
      <c r="B157" s="67" t="s">
        <v>207</v>
      </c>
      <c r="C157" s="105"/>
      <c r="D157" s="105"/>
      <c r="E157" s="105"/>
      <c r="F157" s="105"/>
      <c r="G157" s="105"/>
      <c r="H157" s="105"/>
      <c r="I157" s="105"/>
      <c r="J157" s="105"/>
      <c r="K157" s="105"/>
      <c r="L157" s="105"/>
      <c r="M157" s="105"/>
      <c r="N157" s="105"/>
      <c r="O157" s="105"/>
      <c r="P157" s="106"/>
    </row>
    <row r="158" spans="2:16" ht="27.95" customHeight="1">
      <c r="B158" s="44">
        <v>134</v>
      </c>
      <c r="C158" s="2" t="s">
        <v>37</v>
      </c>
      <c r="D158" s="2" t="s">
        <v>208</v>
      </c>
      <c r="E158" s="11" t="b">
        <v>1</v>
      </c>
      <c r="F158" s="11" t="b">
        <v>0</v>
      </c>
      <c r="G158" s="11" t="b">
        <v>1</v>
      </c>
      <c r="H158" s="17"/>
      <c r="I158" s="5"/>
      <c r="J158" s="2"/>
      <c r="K158" s="5"/>
      <c r="L158" s="4"/>
      <c r="M158" s="4"/>
      <c r="N158" s="4"/>
      <c r="O158" s="4"/>
      <c r="P158" s="45"/>
    </row>
    <row r="159" spans="2:16" ht="27.95" customHeight="1">
      <c r="B159" s="46">
        <v>135</v>
      </c>
      <c r="C159" s="6" t="s">
        <v>37</v>
      </c>
      <c r="D159" s="6" t="s">
        <v>209</v>
      </c>
      <c r="E159" s="10" t="b">
        <v>1</v>
      </c>
      <c r="F159" s="10" t="b">
        <v>0</v>
      </c>
      <c r="G159" s="10" t="b">
        <v>1</v>
      </c>
      <c r="H159" s="17"/>
      <c r="I159" s="9"/>
      <c r="J159" s="6"/>
      <c r="K159" s="9"/>
      <c r="L159" s="8"/>
      <c r="M159" s="8"/>
      <c r="N159" s="8"/>
      <c r="O159" s="8"/>
      <c r="P159" s="47"/>
    </row>
    <row r="160" spans="2:16" ht="27.95" customHeight="1">
      <c r="B160" s="46">
        <v>136</v>
      </c>
      <c r="C160" s="6" t="s">
        <v>37</v>
      </c>
      <c r="D160" s="6" t="s">
        <v>210</v>
      </c>
      <c r="E160" s="10" t="b">
        <v>1</v>
      </c>
      <c r="F160" s="10" t="b">
        <v>0</v>
      </c>
      <c r="G160" s="10" t="b">
        <v>1</v>
      </c>
      <c r="H160" s="17"/>
      <c r="I160" s="9"/>
      <c r="J160" s="6"/>
      <c r="K160" s="9"/>
      <c r="L160" s="8"/>
      <c r="M160" s="8"/>
      <c r="N160" s="8"/>
      <c r="O160" s="8"/>
      <c r="P160" s="47"/>
    </row>
    <row r="161" spans="2:16" ht="27.95" customHeight="1">
      <c r="B161" s="48">
        <v>137</v>
      </c>
      <c r="C161" s="12" t="s">
        <v>37</v>
      </c>
      <c r="D161" s="12" t="s">
        <v>211</v>
      </c>
      <c r="E161" s="16" t="b">
        <v>1</v>
      </c>
      <c r="F161" s="16" t="b">
        <v>0</v>
      </c>
      <c r="G161" s="16" t="b">
        <v>1</v>
      </c>
      <c r="H161" s="17"/>
      <c r="I161" s="15"/>
      <c r="J161" s="12"/>
      <c r="K161" s="15"/>
      <c r="L161" s="14"/>
      <c r="M161" s="14"/>
      <c r="N161" s="14"/>
      <c r="O161" s="14"/>
      <c r="P161" s="49"/>
    </row>
    <row r="162" spans="2:16" ht="15.95" customHeight="1">
      <c r="B162" s="67" t="s">
        <v>212</v>
      </c>
      <c r="C162" s="105"/>
      <c r="D162" s="105"/>
      <c r="E162" s="105"/>
      <c r="F162" s="105"/>
      <c r="G162" s="105"/>
      <c r="H162" s="105"/>
      <c r="I162" s="105"/>
      <c r="J162" s="105"/>
      <c r="K162" s="105"/>
      <c r="L162" s="105"/>
      <c r="M162" s="105"/>
      <c r="N162" s="105"/>
      <c r="O162" s="105"/>
      <c r="P162" s="106"/>
    </row>
    <row r="163" spans="2:16" ht="27.95" customHeight="1">
      <c r="B163" s="44">
        <v>138</v>
      </c>
      <c r="C163" s="2" t="s">
        <v>38</v>
      </c>
      <c r="D163" s="2" t="s">
        <v>213</v>
      </c>
      <c r="E163" s="11" t="b">
        <v>1</v>
      </c>
      <c r="F163" s="11" t="b">
        <v>0</v>
      </c>
      <c r="G163" s="11" t="b">
        <v>1</v>
      </c>
      <c r="H163" s="17"/>
      <c r="I163" s="5"/>
      <c r="J163" s="2"/>
      <c r="K163" s="5"/>
      <c r="L163" s="4"/>
      <c r="M163" s="4"/>
      <c r="N163" s="4"/>
      <c r="O163" s="4"/>
      <c r="P163" s="45"/>
    </row>
    <row r="164" spans="2:16" ht="27.95" customHeight="1">
      <c r="B164" s="46">
        <v>139</v>
      </c>
      <c r="C164" s="6" t="s">
        <v>38</v>
      </c>
      <c r="D164" s="6" t="s">
        <v>214</v>
      </c>
      <c r="E164" s="10" t="b">
        <v>1</v>
      </c>
      <c r="F164" s="10" t="b">
        <v>0</v>
      </c>
      <c r="G164" s="10" t="b">
        <v>1</v>
      </c>
      <c r="H164" s="17"/>
      <c r="I164" s="9"/>
      <c r="J164" s="6"/>
      <c r="K164" s="9"/>
      <c r="L164" s="8"/>
      <c r="M164" s="8"/>
      <c r="N164" s="8"/>
      <c r="O164" s="8"/>
      <c r="P164" s="47"/>
    </row>
    <row r="165" spans="2:16" ht="27.95" customHeight="1">
      <c r="B165" s="46">
        <v>140</v>
      </c>
      <c r="C165" s="6" t="s">
        <v>38</v>
      </c>
      <c r="D165" s="6" t="s">
        <v>215</v>
      </c>
      <c r="E165" s="10" t="b">
        <v>1</v>
      </c>
      <c r="F165" s="10" t="b">
        <v>0</v>
      </c>
      <c r="G165" s="10" t="b">
        <v>1</v>
      </c>
      <c r="H165" s="17"/>
      <c r="I165" s="9"/>
      <c r="J165" s="6"/>
      <c r="K165" s="9"/>
      <c r="L165" s="8"/>
      <c r="M165" s="8"/>
      <c r="N165" s="8"/>
      <c r="O165" s="8"/>
      <c r="P165" s="47"/>
    </row>
    <row r="166" spans="2:16" ht="27.95" customHeight="1">
      <c r="B166" s="46">
        <v>141</v>
      </c>
      <c r="C166" s="6" t="s">
        <v>38</v>
      </c>
      <c r="D166" s="6" t="s">
        <v>216</v>
      </c>
      <c r="E166" s="10" t="b">
        <v>1</v>
      </c>
      <c r="F166" s="10" t="b">
        <v>0</v>
      </c>
      <c r="G166" s="10" t="b">
        <v>1</v>
      </c>
      <c r="H166" s="17"/>
      <c r="I166" s="9"/>
      <c r="J166" s="6"/>
      <c r="K166" s="9"/>
      <c r="L166" s="8"/>
      <c r="M166" s="8"/>
      <c r="N166" s="8"/>
      <c r="O166" s="8"/>
      <c r="P166" s="47"/>
    </row>
    <row r="167" spans="2:16" ht="27.95" customHeight="1">
      <c r="B167" s="50">
        <v>142</v>
      </c>
      <c r="C167" s="51" t="s">
        <v>38</v>
      </c>
      <c r="D167" s="51" t="s">
        <v>217</v>
      </c>
      <c r="E167" s="52" t="b">
        <v>1</v>
      </c>
      <c r="F167" s="52" t="b">
        <v>0</v>
      </c>
      <c r="G167" s="52" t="b">
        <v>1</v>
      </c>
      <c r="H167" s="53"/>
      <c r="I167" s="54"/>
      <c r="J167" s="51"/>
      <c r="K167" s="54"/>
      <c r="L167" s="37"/>
      <c r="M167" s="37"/>
      <c r="N167" s="37"/>
      <c r="O167" s="37"/>
      <c r="P167" s="55"/>
    </row>
  </sheetData>
  <mergeCells count="23">
    <mergeCell ref="B1:H1"/>
    <mergeCell ref="B162:P162"/>
    <mergeCell ref="K11:P11"/>
    <mergeCell ref="B11:D11"/>
    <mergeCell ref="B136:P136"/>
    <mergeCell ref="B157:P157"/>
    <mergeCell ref="B142:P142"/>
    <mergeCell ref="B66:P66"/>
    <mergeCell ref="B125:P125"/>
    <mergeCell ref="B114:P114"/>
    <mergeCell ref="B103:P103"/>
    <mergeCell ref="B4:D4"/>
    <mergeCell ref="B5:D5"/>
    <mergeCell ref="B6:D6"/>
    <mergeCell ref="B7:D7"/>
    <mergeCell ref="B8:D8"/>
    <mergeCell ref="B80:P80"/>
    <mergeCell ref="B30:P30"/>
    <mergeCell ref="B47:P47"/>
    <mergeCell ref="H11:J11"/>
    <mergeCell ref="B24:P24"/>
    <mergeCell ref="E11:G11"/>
    <mergeCell ref="B13:P13"/>
  </mergeCells>
  <conditionalFormatting sqref="L13:L167">
    <cfRule type="cellIs" dxfId="159" priority="156" operator="equal">
      <formula>"Approved"</formula>
    </cfRule>
    <cfRule type="cellIs" dxfId="158" priority="157" operator="equal">
      <formula>"Draft"</formula>
    </cfRule>
    <cfRule type="cellIs" dxfId="157" priority="158" operator="equal">
      <formula>"Needs Update"</formula>
    </cfRule>
  </conditionalFormatting>
  <conditionalFormatting sqref="M13:M167">
    <cfRule type="cellIs" dxfId="156" priority="160" operator="equal">
      <formula>"1"</formula>
    </cfRule>
    <cfRule type="cellIs" dxfId="155" priority="161" operator="equal">
      <formula>"2"</formula>
    </cfRule>
    <cfRule type="cellIs" dxfId="154" priority="162" operator="equal">
      <formula>"3"</formula>
    </cfRule>
    <cfRule type="cellIs" dxfId="153" priority="163" operator="equal">
      <formula>"4"</formula>
    </cfRule>
    <cfRule type="cellIs" dxfId="152" priority="164" operator="equal">
      <formula>"5"</formula>
    </cfRule>
  </conditionalFormatting>
  <conditionalFormatting sqref="H14:H23">
    <cfRule type="containsText" dxfId="151" priority="39" operator="containsText" text="Yes">
      <formula>NOT(ISERROR(SEARCH("Yes",H14)))</formula>
    </cfRule>
  </conditionalFormatting>
  <conditionalFormatting sqref="H14:H23">
    <cfRule type="containsText" dxfId="150" priority="38" operator="containsText" text="Partial">
      <formula>NOT(ISERROR(SEARCH("Partial",H14)))</formula>
    </cfRule>
  </conditionalFormatting>
  <conditionalFormatting sqref="H14:H23">
    <cfRule type="containsText" dxfId="149" priority="37" operator="containsText" text="No">
      <formula>NOT(ISERROR(SEARCH("No",H14)))</formula>
    </cfRule>
  </conditionalFormatting>
  <conditionalFormatting sqref="H25:H29">
    <cfRule type="containsText" dxfId="148" priority="36" operator="containsText" text="Yes">
      <formula>NOT(ISERROR(SEARCH("Yes",H25)))</formula>
    </cfRule>
  </conditionalFormatting>
  <conditionalFormatting sqref="H25:H29">
    <cfRule type="containsText" dxfId="147" priority="35" operator="containsText" text="Partial">
      <formula>NOT(ISERROR(SEARCH("Partial",H25)))</formula>
    </cfRule>
  </conditionalFormatting>
  <conditionalFormatting sqref="H25:H29">
    <cfRule type="containsText" dxfId="146" priority="34" operator="containsText" text="No">
      <formula>NOT(ISERROR(SEARCH("No",H25)))</formula>
    </cfRule>
  </conditionalFormatting>
  <conditionalFormatting sqref="H31:H46">
    <cfRule type="containsText" dxfId="145" priority="33" operator="containsText" text="Yes">
      <formula>NOT(ISERROR(SEARCH("Yes",H31)))</formula>
    </cfRule>
  </conditionalFormatting>
  <conditionalFormatting sqref="H31:H46">
    <cfRule type="containsText" dxfId="144" priority="32" operator="containsText" text="Partial">
      <formula>NOT(ISERROR(SEARCH("Partial",H31)))</formula>
    </cfRule>
  </conditionalFormatting>
  <conditionalFormatting sqref="H31:H46">
    <cfRule type="containsText" dxfId="143" priority="31" operator="containsText" text="No">
      <formula>NOT(ISERROR(SEARCH("No",H31)))</formula>
    </cfRule>
  </conditionalFormatting>
  <conditionalFormatting sqref="H48:H65">
    <cfRule type="containsText" dxfId="142" priority="30" operator="containsText" text="Yes">
      <formula>NOT(ISERROR(SEARCH("Yes",H48)))</formula>
    </cfRule>
  </conditionalFormatting>
  <conditionalFormatting sqref="H48:H65">
    <cfRule type="containsText" dxfId="141" priority="29" operator="containsText" text="Partial">
      <formula>NOT(ISERROR(SEARCH("Partial",H48)))</formula>
    </cfRule>
  </conditionalFormatting>
  <conditionalFormatting sqref="H48:H65">
    <cfRule type="containsText" dxfId="140" priority="28" operator="containsText" text="No">
      <formula>NOT(ISERROR(SEARCH("No",H48)))</formula>
    </cfRule>
  </conditionalFormatting>
  <conditionalFormatting sqref="H67:H79">
    <cfRule type="containsText" dxfId="139" priority="27" operator="containsText" text="Yes">
      <formula>NOT(ISERROR(SEARCH("Yes",H67)))</formula>
    </cfRule>
  </conditionalFormatting>
  <conditionalFormatting sqref="H67:H79">
    <cfRule type="containsText" dxfId="138" priority="26" operator="containsText" text="Partial">
      <formula>NOT(ISERROR(SEARCH("Partial",H67)))</formula>
    </cfRule>
  </conditionalFormatting>
  <conditionalFormatting sqref="H67:H79">
    <cfRule type="containsText" dxfId="137" priority="25" operator="containsText" text="No">
      <formula>NOT(ISERROR(SEARCH("No",H67)))</formula>
    </cfRule>
  </conditionalFormatting>
  <conditionalFormatting sqref="H81:H102">
    <cfRule type="containsText" dxfId="136" priority="24" operator="containsText" text="Yes">
      <formula>NOT(ISERROR(SEARCH("Yes",H81)))</formula>
    </cfRule>
  </conditionalFormatting>
  <conditionalFormatting sqref="H81:H102">
    <cfRule type="containsText" dxfId="135" priority="23" operator="containsText" text="Partial">
      <formula>NOT(ISERROR(SEARCH("Partial",H81)))</formula>
    </cfRule>
  </conditionalFormatting>
  <conditionalFormatting sqref="H81:H102">
    <cfRule type="containsText" dxfId="134" priority="22" operator="containsText" text="No">
      <formula>NOT(ISERROR(SEARCH("No",H81)))</formula>
    </cfRule>
  </conditionalFormatting>
  <conditionalFormatting sqref="H104:H113">
    <cfRule type="containsText" dxfId="133" priority="21" operator="containsText" text="Yes">
      <formula>NOT(ISERROR(SEARCH("Yes",H104)))</formula>
    </cfRule>
  </conditionalFormatting>
  <conditionalFormatting sqref="H104:H113">
    <cfRule type="containsText" dxfId="132" priority="20" operator="containsText" text="Partial">
      <formula>NOT(ISERROR(SEARCH("Partial",H104)))</formula>
    </cfRule>
  </conditionalFormatting>
  <conditionalFormatting sqref="H104:H113">
    <cfRule type="containsText" dxfId="131" priority="19" operator="containsText" text="No">
      <formula>NOT(ISERROR(SEARCH("No",H104)))</formula>
    </cfRule>
  </conditionalFormatting>
  <conditionalFormatting sqref="H115:H124">
    <cfRule type="containsText" dxfId="130" priority="18" operator="containsText" text="Yes">
      <formula>NOT(ISERROR(SEARCH("Yes",H115)))</formula>
    </cfRule>
  </conditionalFormatting>
  <conditionalFormatting sqref="H115:H124">
    <cfRule type="containsText" dxfId="129" priority="17" operator="containsText" text="Partial">
      <formula>NOT(ISERROR(SEARCH("Partial",H115)))</formula>
    </cfRule>
  </conditionalFormatting>
  <conditionalFormatting sqref="H115:H124">
    <cfRule type="containsText" dxfId="128" priority="16" operator="containsText" text="No">
      <formula>NOT(ISERROR(SEARCH("No",H115)))</formula>
    </cfRule>
  </conditionalFormatting>
  <conditionalFormatting sqref="H126:H135">
    <cfRule type="containsText" dxfId="127" priority="15" operator="containsText" text="Yes">
      <formula>NOT(ISERROR(SEARCH("Yes",H126)))</formula>
    </cfRule>
  </conditionalFormatting>
  <conditionalFormatting sqref="H126:H135">
    <cfRule type="containsText" dxfId="126" priority="14" operator="containsText" text="Partial">
      <formula>NOT(ISERROR(SEARCH("Partial",H126)))</formula>
    </cfRule>
  </conditionalFormatting>
  <conditionalFormatting sqref="H126:H135">
    <cfRule type="containsText" dxfId="125" priority="13" operator="containsText" text="No">
      <formula>NOT(ISERROR(SEARCH("No",H126)))</formula>
    </cfRule>
  </conditionalFormatting>
  <conditionalFormatting sqref="H137:H141">
    <cfRule type="containsText" dxfId="124" priority="12" operator="containsText" text="Yes">
      <formula>NOT(ISERROR(SEARCH("Yes",H137)))</formula>
    </cfRule>
  </conditionalFormatting>
  <conditionalFormatting sqref="H137:H141">
    <cfRule type="containsText" dxfId="123" priority="11" operator="containsText" text="Partial">
      <formula>NOT(ISERROR(SEARCH("Partial",H137)))</formula>
    </cfRule>
  </conditionalFormatting>
  <conditionalFormatting sqref="H137:H141">
    <cfRule type="containsText" dxfId="122" priority="10" operator="containsText" text="No">
      <formula>NOT(ISERROR(SEARCH("No",H137)))</formula>
    </cfRule>
  </conditionalFormatting>
  <conditionalFormatting sqref="H143:H156">
    <cfRule type="containsText" dxfId="121" priority="9" operator="containsText" text="Yes">
      <formula>NOT(ISERROR(SEARCH("Yes",H143)))</formula>
    </cfRule>
  </conditionalFormatting>
  <conditionalFormatting sqref="H143:H156">
    <cfRule type="containsText" dxfId="120" priority="8" operator="containsText" text="Partial">
      <formula>NOT(ISERROR(SEARCH("Partial",H143)))</formula>
    </cfRule>
  </conditionalFormatting>
  <conditionalFormatting sqref="H143:H156">
    <cfRule type="containsText" dxfId="119" priority="7" operator="containsText" text="No">
      <formula>NOT(ISERROR(SEARCH("No",H143)))</formula>
    </cfRule>
  </conditionalFormatting>
  <conditionalFormatting sqref="H158:H161">
    <cfRule type="containsText" dxfId="118" priority="6" operator="containsText" text="Yes">
      <formula>NOT(ISERROR(SEARCH("Yes",H158)))</formula>
    </cfRule>
  </conditionalFormatting>
  <conditionalFormatting sqref="H158:H161">
    <cfRule type="containsText" dxfId="117" priority="5" operator="containsText" text="Partial">
      <formula>NOT(ISERROR(SEARCH("Partial",H158)))</formula>
    </cfRule>
  </conditionalFormatting>
  <conditionalFormatting sqref="H158:H161">
    <cfRule type="containsText" dxfId="116" priority="4" operator="containsText" text="No">
      <formula>NOT(ISERROR(SEARCH("No",H158)))</formula>
    </cfRule>
  </conditionalFormatting>
  <conditionalFormatting sqref="H163:H167">
    <cfRule type="containsText" dxfId="115" priority="3" operator="containsText" text="Yes">
      <formula>NOT(ISERROR(SEARCH("Yes",H163)))</formula>
    </cfRule>
  </conditionalFormatting>
  <conditionalFormatting sqref="H163:H167">
    <cfRule type="containsText" dxfId="114" priority="2" operator="containsText" text="Partial">
      <formula>NOT(ISERROR(SEARCH("Partial",H163)))</formula>
    </cfRule>
  </conditionalFormatting>
  <conditionalFormatting sqref="H163:H167">
    <cfRule type="containsText" dxfId="113" priority="1" operator="containsText" text="No">
      <formula>NOT(ISERROR(SEARCH("No",H163)))</formula>
    </cfRule>
  </conditionalFormatting>
  <dataValidations count="4">
    <dataValidation type="list" allowBlank="1" sqref="L13 L24 L30 L47 L66 L80 L103 L114 L125 L136 L142 L157 L162" xr:uid="{00000000-0002-0000-0100-000000000000}">
      <formula1>"Approved,Draft,Needs Update,Gap"</formula1>
    </dataValidation>
    <dataValidation type="list" allowBlank="1" sqref="M13:M167" xr:uid="{00000000-0002-0000-0100-000001000000}">
      <formula1>"1,2,3,4,5"</formula1>
    </dataValidation>
    <dataValidation type="list" allowBlank="1" showInputMessage="1" showErrorMessage="1" sqref="H163:H167 H14:H23 H25:H29 H31:H46 H48:H65 H67:H79 H81:H102 H104:H113 H115:H124 H126:H135 H137:H141 H143:H156 H158:H161" xr:uid="{96E94FDD-AC59-4D05-B20F-62C8B6927D5E}">
      <formula1>"Yes, No, Partial"</formula1>
    </dataValidation>
    <dataValidation type="list" allowBlank="1" sqref="L48:L65 L25:L29 L31:L46 L14:L23 L67:L79 L81:L102 L104:L113 L115:L124 L126:L135 L137:L141 L143:L156 L158:L161 L163:L167" xr:uid="{B8C7403A-1E58-48A1-93E2-D839921A9D43}">
      <formula1>"Approved,Draft,Needs Update"</formula1>
    </dataValidation>
  </dataValidations>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containsText" priority="155" operator="containsText" id="{BC92A6AF-12E6-4AFE-AE2B-4F533DD89EE1}">
            <xm:f>NOT(ISERROR(SEARCH(TRUE,F15)))</xm:f>
            <xm:f>TRUE</xm:f>
            <x14:dxf>
              <font>
                <color rgb="FF03D4CC"/>
              </font>
              <fill>
                <patternFill patternType="solid">
                  <bgColor rgb="FF013C4A"/>
                </patternFill>
              </fill>
            </x14:dxf>
          </x14:cfRule>
          <xm:sqref>F15</xm:sqref>
        </x14:conditionalFormatting>
        <x14:conditionalFormatting xmlns:xm="http://schemas.microsoft.com/office/excel/2006/main">
          <x14:cfRule type="containsText" priority="154" operator="containsText" id="{DF0C316A-42CF-4951-957A-7499B7340B4D}">
            <xm:f>NOT(ISERROR(SEARCH(TRUE,E14)))</xm:f>
            <xm:f>TRUE</xm:f>
            <x14:dxf>
              <font>
                <color rgb="FF03D4CC"/>
              </font>
              <fill>
                <patternFill patternType="solid">
                  <bgColor rgb="FF30322E"/>
                </patternFill>
              </fill>
            </x14:dxf>
          </x14:cfRule>
          <xm:sqref>E14:G23</xm:sqref>
        </x14:conditionalFormatting>
        <x14:conditionalFormatting xmlns:xm="http://schemas.microsoft.com/office/excel/2006/main">
          <x14:cfRule type="containsText" priority="153" operator="containsText" id="{E11033CD-5B04-4848-9058-9B32244C6D01}">
            <xm:f>NOT(ISERROR(SEARCH(TRUE,F26)))</xm:f>
            <xm:f>TRUE</xm:f>
            <x14:dxf>
              <font>
                <color rgb="FF03D4CC"/>
              </font>
              <fill>
                <patternFill patternType="solid">
                  <bgColor rgb="FF013C4A"/>
                </patternFill>
              </fill>
            </x14:dxf>
          </x14:cfRule>
          <xm:sqref>F26</xm:sqref>
        </x14:conditionalFormatting>
        <x14:conditionalFormatting xmlns:xm="http://schemas.microsoft.com/office/excel/2006/main">
          <x14:cfRule type="containsText" priority="152" operator="containsText" id="{01481935-0B30-417D-9C35-5445452B5678}">
            <xm:f>NOT(ISERROR(SEARCH(TRUE,E25)))</xm:f>
            <xm:f>TRUE</xm:f>
            <x14:dxf>
              <font>
                <color rgb="FF03D4CC"/>
              </font>
              <fill>
                <patternFill patternType="solid">
                  <bgColor rgb="FF30322E"/>
                </patternFill>
              </fill>
            </x14:dxf>
          </x14:cfRule>
          <xm:sqref>E25:G29</xm:sqref>
        </x14:conditionalFormatting>
        <x14:conditionalFormatting xmlns:xm="http://schemas.microsoft.com/office/excel/2006/main">
          <x14:cfRule type="containsText" priority="151" operator="containsText" id="{6B6CD228-0707-4F40-AF96-771439FF13CC}">
            <xm:f>NOT(ISERROR(SEARCH(TRUE,F32)))</xm:f>
            <xm:f>TRUE</xm:f>
            <x14:dxf>
              <font>
                <color rgb="FF03D4CC"/>
              </font>
              <fill>
                <patternFill patternType="solid">
                  <bgColor rgb="FF013C4A"/>
                </patternFill>
              </fill>
            </x14:dxf>
          </x14:cfRule>
          <xm:sqref>F32 F37 F42</xm:sqref>
        </x14:conditionalFormatting>
        <x14:conditionalFormatting xmlns:xm="http://schemas.microsoft.com/office/excel/2006/main">
          <x14:cfRule type="containsText" priority="150" operator="containsText" id="{3111950D-5628-4655-A0D5-73C29D7CC04D}">
            <xm:f>NOT(ISERROR(SEARCH(TRUE,E31)))</xm:f>
            <xm:f>TRUE</xm:f>
            <x14:dxf>
              <font>
                <color rgb="FF03D4CC"/>
              </font>
              <fill>
                <patternFill patternType="solid">
                  <bgColor rgb="FF30322E"/>
                </patternFill>
              </fill>
            </x14:dxf>
          </x14:cfRule>
          <xm:sqref>E31:G46</xm:sqref>
        </x14:conditionalFormatting>
        <x14:conditionalFormatting xmlns:xm="http://schemas.microsoft.com/office/excel/2006/main">
          <x14:cfRule type="containsText" priority="149" operator="containsText" id="{DD644696-5429-4208-BDEB-A8823E8A6533}">
            <xm:f>NOT(ISERROR(SEARCH(TRUE,F49)))</xm:f>
            <xm:f>TRUE</xm:f>
            <x14:dxf>
              <font>
                <color rgb="FF03D4CC"/>
              </font>
              <fill>
                <patternFill patternType="solid">
                  <bgColor rgb="FF013C4A"/>
                </patternFill>
              </fill>
            </x14:dxf>
          </x14:cfRule>
          <xm:sqref>F49 F65 F54 F59</xm:sqref>
        </x14:conditionalFormatting>
        <x14:conditionalFormatting xmlns:xm="http://schemas.microsoft.com/office/excel/2006/main">
          <x14:cfRule type="containsText" priority="148" operator="containsText" id="{5DEEFFBE-0CC8-4B29-AC20-4C8016903479}">
            <xm:f>NOT(ISERROR(SEARCH(TRUE,E48)))</xm:f>
            <xm:f>TRUE</xm:f>
            <x14:dxf>
              <font>
                <color rgb="FF03D4CC"/>
              </font>
              <fill>
                <patternFill patternType="solid">
                  <bgColor rgb="FF30322E"/>
                </patternFill>
              </fill>
            </x14:dxf>
          </x14:cfRule>
          <xm:sqref>E48:G65</xm:sqref>
        </x14:conditionalFormatting>
        <x14:conditionalFormatting xmlns:xm="http://schemas.microsoft.com/office/excel/2006/main">
          <x14:cfRule type="containsText" priority="147" operator="containsText" id="{6DB65A9F-926A-4273-8935-1AECB0F1952A}">
            <xm:f>NOT(ISERROR(SEARCH(TRUE,F68)))</xm:f>
            <xm:f>TRUE</xm:f>
            <x14:dxf>
              <font>
                <color rgb="FF03D4CC"/>
              </font>
              <fill>
                <patternFill patternType="solid">
                  <bgColor rgb="FF013C4A"/>
                </patternFill>
              </fill>
            </x14:dxf>
          </x14:cfRule>
          <xm:sqref>F68 F73 F78</xm:sqref>
        </x14:conditionalFormatting>
        <x14:conditionalFormatting xmlns:xm="http://schemas.microsoft.com/office/excel/2006/main">
          <x14:cfRule type="containsText" priority="146" operator="containsText" id="{8A00C5A0-0751-42D4-830A-0271E9E6029B}">
            <xm:f>NOT(ISERROR(SEARCH(TRUE,E67)))</xm:f>
            <xm:f>TRUE</xm:f>
            <x14:dxf>
              <font>
                <color rgb="FF03D4CC"/>
              </font>
              <fill>
                <patternFill patternType="solid">
                  <bgColor rgb="FF30322E"/>
                </patternFill>
              </fill>
            </x14:dxf>
          </x14:cfRule>
          <xm:sqref>E67:G79</xm:sqref>
        </x14:conditionalFormatting>
        <x14:conditionalFormatting xmlns:xm="http://schemas.microsoft.com/office/excel/2006/main">
          <x14:cfRule type="containsText" priority="145" operator="containsText" id="{07166622-7597-410F-9EFB-27ECD1252ABE}">
            <xm:f>NOT(ISERROR(SEARCH(TRUE,F82)))</xm:f>
            <xm:f>TRUE</xm:f>
            <x14:dxf>
              <font>
                <color rgb="FF03D4CC"/>
              </font>
              <fill>
                <patternFill patternType="solid">
                  <bgColor rgb="FF013C4A"/>
                </patternFill>
              </fill>
            </x14:dxf>
          </x14:cfRule>
          <xm:sqref>F82 F95 F87 F100 F92</xm:sqref>
        </x14:conditionalFormatting>
        <x14:conditionalFormatting xmlns:xm="http://schemas.microsoft.com/office/excel/2006/main">
          <x14:cfRule type="containsText" priority="144" operator="containsText" id="{DCCC903B-CD43-4DEE-9F3B-433D35067668}">
            <xm:f>NOT(ISERROR(SEARCH(TRUE,E81)))</xm:f>
            <xm:f>TRUE</xm:f>
            <x14:dxf>
              <font>
                <color rgb="FF03D4CC"/>
              </font>
              <fill>
                <patternFill patternType="solid">
                  <bgColor rgb="FF30322E"/>
                </patternFill>
              </fill>
            </x14:dxf>
          </x14:cfRule>
          <xm:sqref>E81:G102</xm:sqref>
        </x14:conditionalFormatting>
        <x14:conditionalFormatting xmlns:xm="http://schemas.microsoft.com/office/excel/2006/main">
          <x14:cfRule type="containsText" priority="143" operator="containsText" id="{8C89E45E-5DC5-4925-A6C4-8D09DF9DD408}">
            <xm:f>NOT(ISERROR(SEARCH(TRUE,F110)))</xm:f>
            <xm:f>TRUE</xm:f>
            <x14:dxf>
              <font>
                <color rgb="FF03D4CC"/>
              </font>
              <fill>
                <patternFill patternType="solid">
                  <bgColor rgb="FF013C4A"/>
                </patternFill>
              </fill>
            </x14:dxf>
          </x14:cfRule>
          <xm:sqref>F110</xm:sqref>
        </x14:conditionalFormatting>
        <x14:conditionalFormatting xmlns:xm="http://schemas.microsoft.com/office/excel/2006/main">
          <x14:cfRule type="containsText" priority="142" operator="containsText" id="{6B2E791D-5D26-4DC4-A84C-54CA23CDBFCD}">
            <xm:f>NOT(ISERROR(SEARCH(TRUE,E104)))</xm:f>
            <xm:f>TRUE</xm:f>
            <x14:dxf>
              <font>
                <color rgb="FF03D4CC"/>
              </font>
              <fill>
                <patternFill patternType="solid">
                  <bgColor rgb="FF30322E"/>
                </patternFill>
              </fill>
            </x14:dxf>
          </x14:cfRule>
          <xm:sqref>E104:E108 G104:G108 E109:F113</xm:sqref>
        </x14:conditionalFormatting>
        <x14:conditionalFormatting xmlns:xm="http://schemas.microsoft.com/office/excel/2006/main">
          <x14:cfRule type="containsText" priority="141" operator="containsText" id="{EBCD8D46-1650-4DE3-99D8-857AE8D15D6C}">
            <xm:f>NOT(ISERROR(SEARCH(TRUE,F104)))</xm:f>
            <xm:f>TRUE</xm:f>
            <x14:dxf>
              <font>
                <color rgb="FF03D4CC"/>
              </font>
              <fill>
                <patternFill patternType="solid">
                  <bgColor rgb="FF30322E"/>
                </patternFill>
              </fill>
            </x14:dxf>
          </x14:cfRule>
          <xm:sqref>F104</xm:sqref>
        </x14:conditionalFormatting>
        <x14:conditionalFormatting xmlns:xm="http://schemas.microsoft.com/office/excel/2006/main">
          <x14:cfRule type="containsText" priority="140" operator="containsText" id="{1C24F105-FA15-4C4B-B31E-DDDD1469F96C}">
            <xm:f>NOT(ISERROR(SEARCH(TRUE,F105)))</xm:f>
            <xm:f>TRUE</xm:f>
            <x14:dxf>
              <font>
                <color rgb="FF03D4CC"/>
              </font>
              <fill>
                <patternFill patternType="solid">
                  <bgColor rgb="FF30322E"/>
                </patternFill>
              </fill>
            </x14:dxf>
          </x14:cfRule>
          <xm:sqref>F105</xm:sqref>
        </x14:conditionalFormatting>
        <x14:conditionalFormatting xmlns:xm="http://schemas.microsoft.com/office/excel/2006/main">
          <x14:cfRule type="containsText" priority="138" operator="containsText" id="{3D5E4A86-EF1F-40DD-B884-40E11DBDEC65}">
            <xm:f>NOT(ISERROR(SEARCH(TRUE,F106)))</xm:f>
            <xm:f>TRUE</xm:f>
            <x14:dxf>
              <font>
                <color rgb="FF03D4CC"/>
              </font>
              <fill>
                <patternFill patternType="solid">
                  <bgColor rgb="FF30322E"/>
                </patternFill>
              </fill>
            </x14:dxf>
          </x14:cfRule>
          <xm:sqref>F106:F107</xm:sqref>
        </x14:conditionalFormatting>
        <x14:conditionalFormatting xmlns:xm="http://schemas.microsoft.com/office/excel/2006/main">
          <x14:cfRule type="containsText" priority="137" operator="containsText" id="{E8FF87BA-2402-4FD7-95D5-A11F069B7CA7}">
            <xm:f>NOT(ISERROR(SEARCH(TRUE,F108)))</xm:f>
            <xm:f>TRUE</xm:f>
            <x14:dxf>
              <font>
                <color rgb="FF03D4CC"/>
              </font>
              <fill>
                <patternFill patternType="solid">
                  <bgColor rgb="FF30322E"/>
                </patternFill>
              </fill>
            </x14:dxf>
          </x14:cfRule>
          <xm:sqref>F108</xm:sqref>
        </x14:conditionalFormatting>
        <x14:conditionalFormatting xmlns:xm="http://schemas.microsoft.com/office/excel/2006/main">
          <x14:cfRule type="containsText" priority="136" operator="containsText" id="{71D2547F-CEBD-4409-82D9-E75B3A27FA3A}">
            <xm:f>NOT(ISERROR(SEARCH(TRUE,G113)))</xm:f>
            <xm:f>TRUE</xm:f>
            <x14:dxf>
              <font>
                <color rgb="FF03D4CC"/>
              </font>
              <fill>
                <patternFill patternType="solid">
                  <bgColor rgb="FF30322E"/>
                </patternFill>
              </fill>
            </x14:dxf>
          </x14:cfRule>
          <xm:sqref>G113</xm:sqref>
        </x14:conditionalFormatting>
        <x14:conditionalFormatting xmlns:xm="http://schemas.microsoft.com/office/excel/2006/main">
          <x14:cfRule type="containsText" priority="135" operator="containsText" id="{F60402F3-9A29-4120-9574-ECD142FCF7C2}">
            <xm:f>NOT(ISERROR(SEARCH(TRUE,G112)))</xm:f>
            <xm:f>TRUE</xm:f>
            <x14:dxf>
              <font>
                <color rgb="FF03D4CC"/>
              </font>
              <fill>
                <patternFill patternType="solid">
                  <bgColor rgb="FF30322E"/>
                </patternFill>
              </fill>
            </x14:dxf>
          </x14:cfRule>
          <xm:sqref>G112</xm:sqref>
        </x14:conditionalFormatting>
        <x14:conditionalFormatting xmlns:xm="http://schemas.microsoft.com/office/excel/2006/main">
          <x14:cfRule type="containsText" priority="134" operator="containsText" id="{0AAE08F3-D138-47B4-9EA2-996AC612403E}">
            <xm:f>NOT(ISERROR(SEARCH(TRUE,G111)))</xm:f>
            <xm:f>TRUE</xm:f>
            <x14:dxf>
              <font>
                <color rgb="FF03D4CC"/>
              </font>
              <fill>
                <patternFill patternType="solid">
                  <bgColor rgb="FF30322E"/>
                </patternFill>
              </fill>
            </x14:dxf>
          </x14:cfRule>
          <xm:sqref>G111</xm:sqref>
        </x14:conditionalFormatting>
        <x14:conditionalFormatting xmlns:xm="http://schemas.microsoft.com/office/excel/2006/main">
          <x14:cfRule type="containsText" priority="133" operator="containsText" id="{3137726A-5880-4DE0-AE35-DBCE2F8B7D01}">
            <xm:f>NOT(ISERROR(SEARCH(TRUE,G110)))</xm:f>
            <xm:f>TRUE</xm:f>
            <x14:dxf>
              <font>
                <color rgb="FF03D4CC"/>
              </font>
              <fill>
                <patternFill patternType="solid">
                  <bgColor rgb="FF30322E"/>
                </patternFill>
              </fill>
            </x14:dxf>
          </x14:cfRule>
          <xm:sqref>G110</xm:sqref>
        </x14:conditionalFormatting>
        <x14:conditionalFormatting xmlns:xm="http://schemas.microsoft.com/office/excel/2006/main">
          <x14:cfRule type="containsText" priority="132" operator="containsText" id="{1787570F-5702-481F-8F89-815AAFB41152}">
            <xm:f>NOT(ISERROR(SEARCH(TRUE,G109)))</xm:f>
            <xm:f>TRUE</xm:f>
            <x14:dxf>
              <font>
                <color rgb="FF03D4CC"/>
              </font>
              <fill>
                <patternFill patternType="solid">
                  <bgColor rgb="FF30322E"/>
                </patternFill>
              </fill>
            </x14:dxf>
          </x14:cfRule>
          <xm:sqref>G109</xm:sqref>
        </x14:conditionalFormatting>
        <x14:conditionalFormatting xmlns:xm="http://schemas.microsoft.com/office/excel/2006/main">
          <x14:cfRule type="containsText" priority="130" operator="containsText" id="{99AB57B3-4644-4319-8125-17B985A719E5}">
            <xm:f>NOT(ISERROR(SEARCH(TRUE,E115)))</xm:f>
            <xm:f>TRUE</xm:f>
            <x14:dxf>
              <font>
                <color rgb="FF03D4CC"/>
              </font>
              <fill>
                <patternFill patternType="solid">
                  <bgColor rgb="FF30322E"/>
                </patternFill>
              </fill>
            </x14:dxf>
          </x14:cfRule>
          <xm:sqref>G115:G119 E120:E124</xm:sqref>
        </x14:conditionalFormatting>
        <x14:conditionalFormatting xmlns:xm="http://schemas.microsoft.com/office/excel/2006/main">
          <x14:cfRule type="containsText" priority="129" operator="containsText" id="{3DCE65DC-CA59-4F90-93FA-D250E63AC828}">
            <xm:f>NOT(ISERROR(SEARCH(TRUE,F115)))</xm:f>
            <xm:f>TRUE</xm:f>
            <x14:dxf>
              <font>
                <color rgb="FF03D4CC"/>
              </font>
              <fill>
                <patternFill patternType="solid">
                  <bgColor rgb="FF30322E"/>
                </patternFill>
              </fill>
            </x14:dxf>
          </x14:cfRule>
          <xm:sqref>F115</xm:sqref>
        </x14:conditionalFormatting>
        <x14:conditionalFormatting xmlns:xm="http://schemas.microsoft.com/office/excel/2006/main">
          <x14:cfRule type="containsText" priority="128" operator="containsText" id="{A9DE481E-F6AC-45E3-990F-57A6B51CF39B}">
            <xm:f>NOT(ISERROR(SEARCH(TRUE,F116)))</xm:f>
            <xm:f>TRUE</xm:f>
            <x14:dxf>
              <font>
                <color rgb="FF03D4CC"/>
              </font>
              <fill>
                <patternFill patternType="solid">
                  <bgColor rgb="FF30322E"/>
                </patternFill>
              </fill>
            </x14:dxf>
          </x14:cfRule>
          <xm:sqref>F116</xm:sqref>
        </x14:conditionalFormatting>
        <x14:conditionalFormatting xmlns:xm="http://schemas.microsoft.com/office/excel/2006/main">
          <x14:cfRule type="containsText" priority="127" operator="containsText" id="{0D15297C-E92B-46C5-91BE-8AC415D76669}">
            <xm:f>NOT(ISERROR(SEARCH(TRUE,F117)))</xm:f>
            <xm:f>TRUE</xm:f>
            <x14:dxf>
              <font>
                <color rgb="FF03D4CC"/>
              </font>
              <fill>
                <patternFill patternType="solid">
                  <bgColor rgb="FF30322E"/>
                </patternFill>
              </fill>
            </x14:dxf>
          </x14:cfRule>
          <xm:sqref>F117:F118</xm:sqref>
        </x14:conditionalFormatting>
        <x14:conditionalFormatting xmlns:xm="http://schemas.microsoft.com/office/excel/2006/main">
          <x14:cfRule type="containsText" priority="126" operator="containsText" id="{A47534E6-E3F8-4DF8-835C-1B31F5C65A50}">
            <xm:f>NOT(ISERROR(SEARCH(TRUE,F119)))</xm:f>
            <xm:f>TRUE</xm:f>
            <x14:dxf>
              <font>
                <color rgb="FF03D4CC"/>
              </font>
              <fill>
                <patternFill patternType="solid">
                  <bgColor rgb="FF30322E"/>
                </patternFill>
              </fill>
            </x14:dxf>
          </x14:cfRule>
          <xm:sqref>F119</xm:sqref>
        </x14:conditionalFormatting>
        <x14:conditionalFormatting xmlns:xm="http://schemas.microsoft.com/office/excel/2006/main">
          <x14:cfRule type="containsText" priority="125" operator="containsText" id="{A61C3368-8A10-4C7E-B1C2-5017704301EE}">
            <xm:f>NOT(ISERROR(SEARCH(TRUE,G124)))</xm:f>
            <xm:f>TRUE</xm:f>
            <x14:dxf>
              <font>
                <color rgb="FF03D4CC"/>
              </font>
              <fill>
                <patternFill patternType="solid">
                  <bgColor rgb="FF30322E"/>
                </patternFill>
              </fill>
            </x14:dxf>
          </x14:cfRule>
          <xm:sqref>G124</xm:sqref>
        </x14:conditionalFormatting>
        <x14:conditionalFormatting xmlns:xm="http://schemas.microsoft.com/office/excel/2006/main">
          <x14:cfRule type="containsText" priority="124" operator="containsText" id="{2DA3897A-163B-43E8-B08B-62665C6DD36F}">
            <xm:f>NOT(ISERROR(SEARCH(TRUE,G123)))</xm:f>
            <xm:f>TRUE</xm:f>
            <x14:dxf>
              <font>
                <color rgb="FF03D4CC"/>
              </font>
              <fill>
                <patternFill patternType="solid">
                  <bgColor rgb="FF30322E"/>
                </patternFill>
              </fill>
            </x14:dxf>
          </x14:cfRule>
          <xm:sqref>G123</xm:sqref>
        </x14:conditionalFormatting>
        <x14:conditionalFormatting xmlns:xm="http://schemas.microsoft.com/office/excel/2006/main">
          <x14:cfRule type="containsText" priority="123" operator="containsText" id="{6ACC9968-AC23-4FD8-ADDE-57329B9D53BB}">
            <xm:f>NOT(ISERROR(SEARCH(TRUE,G122)))</xm:f>
            <xm:f>TRUE</xm:f>
            <x14:dxf>
              <font>
                <color rgb="FF03D4CC"/>
              </font>
              <fill>
                <patternFill patternType="solid">
                  <bgColor rgb="FF30322E"/>
                </patternFill>
              </fill>
            </x14:dxf>
          </x14:cfRule>
          <xm:sqref>G122</xm:sqref>
        </x14:conditionalFormatting>
        <x14:conditionalFormatting xmlns:xm="http://schemas.microsoft.com/office/excel/2006/main">
          <x14:cfRule type="containsText" priority="122" operator="containsText" id="{2AB541AD-AC83-4497-BDFA-3C32317BB409}">
            <xm:f>NOT(ISERROR(SEARCH(TRUE,G121)))</xm:f>
            <xm:f>TRUE</xm:f>
            <x14:dxf>
              <font>
                <color rgb="FF03D4CC"/>
              </font>
              <fill>
                <patternFill patternType="solid">
                  <bgColor rgb="FF30322E"/>
                </patternFill>
              </fill>
            </x14:dxf>
          </x14:cfRule>
          <xm:sqref>G121</xm:sqref>
        </x14:conditionalFormatting>
        <x14:conditionalFormatting xmlns:xm="http://schemas.microsoft.com/office/excel/2006/main">
          <x14:cfRule type="containsText" priority="121" operator="containsText" id="{8E7EF167-F61A-4B2C-8A1D-1D74F45F622C}">
            <xm:f>NOT(ISERROR(SEARCH(TRUE,G120)))</xm:f>
            <xm:f>TRUE</xm:f>
            <x14:dxf>
              <font>
                <color rgb="FF03D4CC"/>
              </font>
              <fill>
                <patternFill patternType="solid">
                  <bgColor rgb="FF30322E"/>
                </patternFill>
              </fill>
            </x14:dxf>
          </x14:cfRule>
          <xm:sqref>G120</xm:sqref>
        </x14:conditionalFormatting>
        <x14:conditionalFormatting xmlns:xm="http://schemas.microsoft.com/office/excel/2006/main">
          <x14:cfRule type="containsText" priority="120" operator="containsText" id="{3808F7ED-F46E-4150-95D5-B5BC4631DCCA}">
            <xm:f>NOT(ISERROR(SEARCH(TRUE,E115)))</xm:f>
            <xm:f>TRUE</xm:f>
            <x14:dxf>
              <font>
                <color rgb="FF03D4CC"/>
              </font>
              <fill>
                <patternFill patternType="solid">
                  <bgColor rgb="FF30322E"/>
                </patternFill>
              </fill>
            </x14:dxf>
          </x14:cfRule>
          <xm:sqref>E115</xm:sqref>
        </x14:conditionalFormatting>
        <x14:conditionalFormatting xmlns:xm="http://schemas.microsoft.com/office/excel/2006/main">
          <x14:cfRule type="containsText" priority="119" operator="containsText" id="{0D779471-0E46-49BE-9799-E906BC887282}">
            <xm:f>NOT(ISERROR(SEARCH(TRUE,E116)))</xm:f>
            <xm:f>TRUE</xm:f>
            <x14:dxf>
              <font>
                <color rgb="FF03D4CC"/>
              </font>
              <fill>
                <patternFill patternType="solid">
                  <bgColor rgb="FF30322E"/>
                </patternFill>
              </fill>
            </x14:dxf>
          </x14:cfRule>
          <xm:sqref>E116</xm:sqref>
        </x14:conditionalFormatting>
        <x14:conditionalFormatting xmlns:xm="http://schemas.microsoft.com/office/excel/2006/main">
          <x14:cfRule type="containsText" priority="118" operator="containsText" id="{88C304C3-57D4-42F1-BEA0-F2C0FD5DF10C}">
            <xm:f>NOT(ISERROR(SEARCH(TRUE,E117)))</xm:f>
            <xm:f>TRUE</xm:f>
            <x14:dxf>
              <font>
                <color rgb="FF03D4CC"/>
              </font>
              <fill>
                <patternFill patternType="solid">
                  <bgColor rgb="FF30322E"/>
                </patternFill>
              </fill>
            </x14:dxf>
          </x14:cfRule>
          <xm:sqref>E117</xm:sqref>
        </x14:conditionalFormatting>
        <x14:conditionalFormatting xmlns:xm="http://schemas.microsoft.com/office/excel/2006/main">
          <x14:cfRule type="containsText" priority="117" operator="containsText" id="{5B93AAA4-C5B4-4DB4-8F50-8BECD1E23002}">
            <xm:f>NOT(ISERROR(SEARCH(TRUE,E118)))</xm:f>
            <xm:f>TRUE</xm:f>
            <x14:dxf>
              <font>
                <color rgb="FF03D4CC"/>
              </font>
              <fill>
                <patternFill patternType="solid">
                  <bgColor rgb="FF30322E"/>
                </patternFill>
              </fill>
            </x14:dxf>
          </x14:cfRule>
          <xm:sqref>E118</xm:sqref>
        </x14:conditionalFormatting>
        <x14:conditionalFormatting xmlns:xm="http://schemas.microsoft.com/office/excel/2006/main">
          <x14:cfRule type="containsText" priority="116" operator="containsText" id="{581DAD1A-432C-4723-AC13-6E62928E6786}">
            <xm:f>NOT(ISERROR(SEARCH(TRUE,E119)))</xm:f>
            <xm:f>TRUE</xm:f>
            <x14:dxf>
              <font>
                <color rgb="FF03D4CC"/>
              </font>
              <fill>
                <patternFill patternType="solid">
                  <bgColor rgb="FF30322E"/>
                </patternFill>
              </fill>
            </x14:dxf>
          </x14:cfRule>
          <xm:sqref>E119</xm:sqref>
        </x14:conditionalFormatting>
        <x14:conditionalFormatting xmlns:xm="http://schemas.microsoft.com/office/excel/2006/main">
          <x14:cfRule type="containsText" priority="115" operator="containsText" id="{E686FD0A-52BF-49E8-A95A-966E009532DB}">
            <xm:f>NOT(ISERROR(SEARCH(TRUE,F123)))</xm:f>
            <xm:f>TRUE</xm:f>
            <x14:dxf>
              <font>
                <color rgb="FF03D4CC"/>
              </font>
              <fill>
                <patternFill patternType="solid">
                  <bgColor rgb="FF30322E"/>
                </patternFill>
              </fill>
            </x14:dxf>
          </x14:cfRule>
          <xm:sqref>F123</xm:sqref>
        </x14:conditionalFormatting>
        <x14:conditionalFormatting xmlns:xm="http://schemas.microsoft.com/office/excel/2006/main">
          <x14:cfRule type="containsText" priority="114" operator="containsText" id="{A2845C1C-0FA4-4D96-85FC-CBFA124A09A0}">
            <xm:f>NOT(ISERROR(SEARCH(TRUE,F122)))</xm:f>
            <xm:f>TRUE</xm:f>
            <x14:dxf>
              <font>
                <color rgb="FF03D4CC"/>
              </font>
              <fill>
                <patternFill patternType="solid">
                  <bgColor rgb="FF30322E"/>
                </patternFill>
              </fill>
            </x14:dxf>
          </x14:cfRule>
          <xm:sqref>F122</xm:sqref>
        </x14:conditionalFormatting>
        <x14:conditionalFormatting xmlns:xm="http://schemas.microsoft.com/office/excel/2006/main">
          <x14:cfRule type="containsText" priority="113" operator="containsText" id="{3E3DCE3E-978F-49EE-B5E0-1CB46001D190}">
            <xm:f>NOT(ISERROR(SEARCH(TRUE,F121)))</xm:f>
            <xm:f>TRUE</xm:f>
            <x14:dxf>
              <font>
                <color rgb="FF03D4CC"/>
              </font>
              <fill>
                <patternFill patternType="solid">
                  <bgColor rgb="FF30322E"/>
                </patternFill>
              </fill>
            </x14:dxf>
          </x14:cfRule>
          <xm:sqref>F121</xm:sqref>
        </x14:conditionalFormatting>
        <x14:conditionalFormatting xmlns:xm="http://schemas.microsoft.com/office/excel/2006/main">
          <x14:cfRule type="containsText" priority="112" operator="containsText" id="{27AF1A96-7CCD-4325-8F88-EBDD6F487A16}">
            <xm:f>NOT(ISERROR(SEARCH(TRUE,F120)))</xm:f>
            <xm:f>TRUE</xm:f>
            <x14:dxf>
              <font>
                <color rgb="FF03D4CC"/>
              </font>
              <fill>
                <patternFill patternType="solid">
                  <bgColor rgb="FF30322E"/>
                </patternFill>
              </fill>
            </x14:dxf>
          </x14:cfRule>
          <xm:sqref>F120</xm:sqref>
        </x14:conditionalFormatting>
        <x14:conditionalFormatting xmlns:xm="http://schemas.microsoft.com/office/excel/2006/main">
          <x14:cfRule type="containsText" priority="111" operator="containsText" id="{58E4293A-DCAD-45D3-9000-AC40192363DC}">
            <xm:f>NOT(ISERROR(SEARCH(TRUE,F124)))</xm:f>
            <xm:f>TRUE</xm:f>
            <x14:dxf>
              <font>
                <color rgb="FF03D4CC"/>
              </font>
              <fill>
                <patternFill patternType="solid">
                  <bgColor rgb="FF30322E"/>
                </patternFill>
              </fill>
            </x14:dxf>
          </x14:cfRule>
          <xm:sqref>F124</xm:sqref>
        </x14:conditionalFormatting>
        <x14:conditionalFormatting xmlns:xm="http://schemas.microsoft.com/office/excel/2006/main">
          <x14:cfRule type="containsText" priority="110" operator="containsText" id="{9FBC5BE7-E554-41E9-8706-3597FFF45897}">
            <xm:f>NOT(ISERROR(SEARCH(TRUE,E126)))</xm:f>
            <xm:f>TRUE</xm:f>
            <x14:dxf>
              <font>
                <color rgb="FF03D4CC"/>
              </font>
              <fill>
                <patternFill patternType="solid">
                  <bgColor rgb="FF30322E"/>
                </patternFill>
              </fill>
            </x14:dxf>
          </x14:cfRule>
          <xm:sqref>G126:G130 E131:E135</xm:sqref>
        </x14:conditionalFormatting>
        <x14:conditionalFormatting xmlns:xm="http://schemas.microsoft.com/office/excel/2006/main">
          <x14:cfRule type="containsText" priority="109" operator="containsText" id="{77FBF347-B793-4A87-9116-0A1476040634}">
            <xm:f>NOT(ISERROR(SEARCH(TRUE,F126)))</xm:f>
            <xm:f>TRUE</xm:f>
            <x14:dxf>
              <font>
                <color rgb="FF03D4CC"/>
              </font>
              <fill>
                <patternFill patternType="solid">
                  <bgColor rgb="FF30322E"/>
                </patternFill>
              </fill>
            </x14:dxf>
          </x14:cfRule>
          <xm:sqref>F126</xm:sqref>
        </x14:conditionalFormatting>
        <x14:conditionalFormatting xmlns:xm="http://schemas.microsoft.com/office/excel/2006/main">
          <x14:cfRule type="containsText" priority="108" operator="containsText" id="{B9752A4D-E667-44EB-A62F-556C1B0B7139}">
            <xm:f>NOT(ISERROR(SEARCH(TRUE,F127)))</xm:f>
            <xm:f>TRUE</xm:f>
            <x14:dxf>
              <font>
                <color rgb="FF03D4CC"/>
              </font>
              <fill>
                <patternFill patternType="solid">
                  <bgColor rgb="FF30322E"/>
                </patternFill>
              </fill>
            </x14:dxf>
          </x14:cfRule>
          <xm:sqref>F127</xm:sqref>
        </x14:conditionalFormatting>
        <x14:conditionalFormatting xmlns:xm="http://schemas.microsoft.com/office/excel/2006/main">
          <x14:cfRule type="containsText" priority="107" operator="containsText" id="{69874826-0683-4439-B8F4-14ADEEDFD6FA}">
            <xm:f>NOT(ISERROR(SEARCH(TRUE,F128)))</xm:f>
            <xm:f>TRUE</xm:f>
            <x14:dxf>
              <font>
                <color rgb="FF03D4CC"/>
              </font>
              <fill>
                <patternFill patternType="solid">
                  <bgColor rgb="FF30322E"/>
                </patternFill>
              </fill>
            </x14:dxf>
          </x14:cfRule>
          <xm:sqref>F128:F129</xm:sqref>
        </x14:conditionalFormatting>
        <x14:conditionalFormatting xmlns:xm="http://schemas.microsoft.com/office/excel/2006/main">
          <x14:cfRule type="containsText" priority="106" operator="containsText" id="{E071B398-E46C-4FDE-B1AB-73D37458F741}">
            <xm:f>NOT(ISERROR(SEARCH(TRUE,F130)))</xm:f>
            <xm:f>TRUE</xm:f>
            <x14:dxf>
              <font>
                <color rgb="FF03D4CC"/>
              </font>
              <fill>
                <patternFill patternType="solid">
                  <bgColor rgb="FF30322E"/>
                </patternFill>
              </fill>
            </x14:dxf>
          </x14:cfRule>
          <xm:sqref>F130</xm:sqref>
        </x14:conditionalFormatting>
        <x14:conditionalFormatting xmlns:xm="http://schemas.microsoft.com/office/excel/2006/main">
          <x14:cfRule type="containsText" priority="105" operator="containsText" id="{E2A84AD2-DC21-4740-8853-42984D084E50}">
            <xm:f>NOT(ISERROR(SEARCH(TRUE,G135)))</xm:f>
            <xm:f>TRUE</xm:f>
            <x14:dxf>
              <font>
                <color rgb="FF03D4CC"/>
              </font>
              <fill>
                <patternFill patternType="solid">
                  <bgColor rgb="FF30322E"/>
                </patternFill>
              </fill>
            </x14:dxf>
          </x14:cfRule>
          <xm:sqref>G135</xm:sqref>
        </x14:conditionalFormatting>
        <x14:conditionalFormatting xmlns:xm="http://schemas.microsoft.com/office/excel/2006/main">
          <x14:cfRule type="containsText" priority="104" operator="containsText" id="{313C0A55-9FDC-4F7C-9309-819361FD0AE8}">
            <xm:f>NOT(ISERROR(SEARCH(TRUE,G134)))</xm:f>
            <xm:f>TRUE</xm:f>
            <x14:dxf>
              <font>
                <color rgb="FF03D4CC"/>
              </font>
              <fill>
                <patternFill patternType="solid">
                  <bgColor rgb="FF30322E"/>
                </patternFill>
              </fill>
            </x14:dxf>
          </x14:cfRule>
          <xm:sqref>G134</xm:sqref>
        </x14:conditionalFormatting>
        <x14:conditionalFormatting xmlns:xm="http://schemas.microsoft.com/office/excel/2006/main">
          <x14:cfRule type="containsText" priority="103" operator="containsText" id="{F04C42DA-44B9-4331-9B9D-BACE19274CD5}">
            <xm:f>NOT(ISERROR(SEARCH(TRUE,G133)))</xm:f>
            <xm:f>TRUE</xm:f>
            <x14:dxf>
              <font>
                <color rgb="FF03D4CC"/>
              </font>
              <fill>
                <patternFill patternType="solid">
                  <bgColor rgb="FF30322E"/>
                </patternFill>
              </fill>
            </x14:dxf>
          </x14:cfRule>
          <xm:sqref>G133</xm:sqref>
        </x14:conditionalFormatting>
        <x14:conditionalFormatting xmlns:xm="http://schemas.microsoft.com/office/excel/2006/main">
          <x14:cfRule type="containsText" priority="102" operator="containsText" id="{D852BBAE-95F7-465A-B5A9-4175A194FB03}">
            <xm:f>NOT(ISERROR(SEARCH(TRUE,G132)))</xm:f>
            <xm:f>TRUE</xm:f>
            <x14:dxf>
              <font>
                <color rgb="FF03D4CC"/>
              </font>
              <fill>
                <patternFill patternType="solid">
                  <bgColor rgb="FF30322E"/>
                </patternFill>
              </fill>
            </x14:dxf>
          </x14:cfRule>
          <xm:sqref>G132</xm:sqref>
        </x14:conditionalFormatting>
        <x14:conditionalFormatting xmlns:xm="http://schemas.microsoft.com/office/excel/2006/main">
          <x14:cfRule type="containsText" priority="101" operator="containsText" id="{C07220E1-7B98-4AB0-8680-F1F1F4299F9A}">
            <xm:f>NOT(ISERROR(SEARCH(TRUE,G131)))</xm:f>
            <xm:f>TRUE</xm:f>
            <x14:dxf>
              <font>
                <color rgb="FF03D4CC"/>
              </font>
              <fill>
                <patternFill patternType="solid">
                  <bgColor rgb="FF30322E"/>
                </patternFill>
              </fill>
            </x14:dxf>
          </x14:cfRule>
          <xm:sqref>G131</xm:sqref>
        </x14:conditionalFormatting>
        <x14:conditionalFormatting xmlns:xm="http://schemas.microsoft.com/office/excel/2006/main">
          <x14:cfRule type="containsText" priority="100" operator="containsText" id="{D325742C-E2CE-40EB-BBC8-6574CBC5ABBB}">
            <xm:f>NOT(ISERROR(SEARCH(TRUE,E126)))</xm:f>
            <xm:f>TRUE</xm:f>
            <x14:dxf>
              <font>
                <color rgb="FF03D4CC"/>
              </font>
              <fill>
                <patternFill patternType="solid">
                  <bgColor rgb="FF30322E"/>
                </patternFill>
              </fill>
            </x14:dxf>
          </x14:cfRule>
          <xm:sqref>E126</xm:sqref>
        </x14:conditionalFormatting>
        <x14:conditionalFormatting xmlns:xm="http://schemas.microsoft.com/office/excel/2006/main">
          <x14:cfRule type="containsText" priority="99" operator="containsText" id="{28959DD5-BAD7-423A-A1CB-5E82679DE8A8}">
            <xm:f>NOT(ISERROR(SEARCH(TRUE,E127)))</xm:f>
            <xm:f>TRUE</xm:f>
            <x14:dxf>
              <font>
                <color rgb="FF03D4CC"/>
              </font>
              <fill>
                <patternFill patternType="solid">
                  <bgColor rgb="FF30322E"/>
                </patternFill>
              </fill>
            </x14:dxf>
          </x14:cfRule>
          <xm:sqref>E127</xm:sqref>
        </x14:conditionalFormatting>
        <x14:conditionalFormatting xmlns:xm="http://schemas.microsoft.com/office/excel/2006/main">
          <x14:cfRule type="containsText" priority="98" operator="containsText" id="{5238E791-D7B1-483D-B022-72135AFD6645}">
            <xm:f>NOT(ISERROR(SEARCH(TRUE,E128)))</xm:f>
            <xm:f>TRUE</xm:f>
            <x14:dxf>
              <font>
                <color rgb="FF03D4CC"/>
              </font>
              <fill>
                <patternFill patternType="solid">
                  <bgColor rgb="FF30322E"/>
                </patternFill>
              </fill>
            </x14:dxf>
          </x14:cfRule>
          <xm:sqref>E128</xm:sqref>
        </x14:conditionalFormatting>
        <x14:conditionalFormatting xmlns:xm="http://schemas.microsoft.com/office/excel/2006/main">
          <x14:cfRule type="containsText" priority="97" operator="containsText" id="{120811EF-D3E5-43D4-9524-CB9E7883A5E4}">
            <xm:f>NOT(ISERROR(SEARCH(TRUE,E129)))</xm:f>
            <xm:f>TRUE</xm:f>
            <x14:dxf>
              <font>
                <color rgb="FF03D4CC"/>
              </font>
              <fill>
                <patternFill patternType="solid">
                  <bgColor rgb="FF30322E"/>
                </patternFill>
              </fill>
            </x14:dxf>
          </x14:cfRule>
          <xm:sqref>E129</xm:sqref>
        </x14:conditionalFormatting>
        <x14:conditionalFormatting xmlns:xm="http://schemas.microsoft.com/office/excel/2006/main">
          <x14:cfRule type="containsText" priority="96" operator="containsText" id="{723F6353-1353-4413-97BB-3051A8BCB01A}">
            <xm:f>NOT(ISERROR(SEARCH(TRUE,E130)))</xm:f>
            <xm:f>TRUE</xm:f>
            <x14:dxf>
              <font>
                <color rgb="FF03D4CC"/>
              </font>
              <fill>
                <patternFill patternType="solid">
                  <bgColor rgb="FF30322E"/>
                </patternFill>
              </fill>
            </x14:dxf>
          </x14:cfRule>
          <xm:sqref>E130</xm:sqref>
        </x14:conditionalFormatting>
        <x14:conditionalFormatting xmlns:xm="http://schemas.microsoft.com/office/excel/2006/main">
          <x14:cfRule type="containsText" priority="95" operator="containsText" id="{2E8167AB-3B11-4C46-AD2F-11E5E10DB05B}">
            <xm:f>NOT(ISERROR(SEARCH(TRUE,F134)))</xm:f>
            <xm:f>TRUE</xm:f>
            <x14:dxf>
              <font>
                <color rgb="FF03D4CC"/>
              </font>
              <fill>
                <patternFill patternType="solid">
                  <bgColor rgb="FF30322E"/>
                </patternFill>
              </fill>
            </x14:dxf>
          </x14:cfRule>
          <xm:sqref>F134</xm:sqref>
        </x14:conditionalFormatting>
        <x14:conditionalFormatting xmlns:xm="http://schemas.microsoft.com/office/excel/2006/main">
          <x14:cfRule type="containsText" priority="94" operator="containsText" id="{2B9DC149-096B-4170-BF93-242A738E50FA}">
            <xm:f>NOT(ISERROR(SEARCH(TRUE,F133)))</xm:f>
            <xm:f>TRUE</xm:f>
            <x14:dxf>
              <font>
                <color rgb="FF03D4CC"/>
              </font>
              <fill>
                <patternFill patternType="solid">
                  <bgColor rgb="FF30322E"/>
                </patternFill>
              </fill>
            </x14:dxf>
          </x14:cfRule>
          <xm:sqref>F133</xm:sqref>
        </x14:conditionalFormatting>
        <x14:conditionalFormatting xmlns:xm="http://schemas.microsoft.com/office/excel/2006/main">
          <x14:cfRule type="containsText" priority="93" operator="containsText" id="{B31D6D76-8401-48A0-996D-E1EACEE45AD4}">
            <xm:f>NOT(ISERROR(SEARCH(TRUE,F132)))</xm:f>
            <xm:f>TRUE</xm:f>
            <x14:dxf>
              <font>
                <color rgb="FF03D4CC"/>
              </font>
              <fill>
                <patternFill patternType="solid">
                  <bgColor rgb="FF30322E"/>
                </patternFill>
              </fill>
            </x14:dxf>
          </x14:cfRule>
          <xm:sqref>F132</xm:sqref>
        </x14:conditionalFormatting>
        <x14:conditionalFormatting xmlns:xm="http://schemas.microsoft.com/office/excel/2006/main">
          <x14:cfRule type="containsText" priority="92" operator="containsText" id="{1EE985B2-18A0-488B-AC9E-CF49C3C819CC}">
            <xm:f>NOT(ISERROR(SEARCH(TRUE,F131)))</xm:f>
            <xm:f>TRUE</xm:f>
            <x14:dxf>
              <font>
                <color rgb="FF03D4CC"/>
              </font>
              <fill>
                <patternFill patternType="solid">
                  <bgColor rgb="FF30322E"/>
                </patternFill>
              </fill>
            </x14:dxf>
          </x14:cfRule>
          <xm:sqref>F131</xm:sqref>
        </x14:conditionalFormatting>
        <x14:conditionalFormatting xmlns:xm="http://schemas.microsoft.com/office/excel/2006/main">
          <x14:cfRule type="containsText" priority="91" operator="containsText" id="{571BD91D-C24D-4869-8843-32A46DCFA683}">
            <xm:f>NOT(ISERROR(SEARCH(TRUE,F135)))</xm:f>
            <xm:f>TRUE</xm:f>
            <x14:dxf>
              <font>
                <color rgb="FF03D4CC"/>
              </font>
              <fill>
                <patternFill patternType="solid">
                  <bgColor rgb="FF30322E"/>
                </patternFill>
              </fill>
            </x14:dxf>
          </x14:cfRule>
          <xm:sqref>F135</xm:sqref>
        </x14:conditionalFormatting>
        <x14:conditionalFormatting xmlns:xm="http://schemas.microsoft.com/office/excel/2006/main">
          <x14:cfRule type="containsText" priority="90" operator="containsText" id="{325F8F9D-58FF-4FCC-9B17-DE0D1FEA1C72}">
            <xm:f>NOT(ISERROR(SEARCH(TRUE,G137)))</xm:f>
            <xm:f>TRUE</xm:f>
            <x14:dxf>
              <font>
                <color rgb="FF03D4CC"/>
              </font>
              <fill>
                <patternFill patternType="solid">
                  <bgColor rgb="FF30322E"/>
                </patternFill>
              </fill>
            </x14:dxf>
          </x14:cfRule>
          <xm:sqref>G137:G141</xm:sqref>
        </x14:conditionalFormatting>
        <x14:conditionalFormatting xmlns:xm="http://schemas.microsoft.com/office/excel/2006/main">
          <x14:cfRule type="containsText" priority="89" operator="containsText" id="{C1519B53-36ED-4504-96C8-714EDEDB2812}">
            <xm:f>NOT(ISERROR(SEARCH(TRUE,F137)))</xm:f>
            <xm:f>TRUE</xm:f>
            <x14:dxf>
              <font>
                <color rgb="FF03D4CC"/>
              </font>
              <fill>
                <patternFill patternType="solid">
                  <bgColor rgb="FF30322E"/>
                </patternFill>
              </fill>
            </x14:dxf>
          </x14:cfRule>
          <xm:sqref>F137</xm:sqref>
        </x14:conditionalFormatting>
        <x14:conditionalFormatting xmlns:xm="http://schemas.microsoft.com/office/excel/2006/main">
          <x14:cfRule type="containsText" priority="88" operator="containsText" id="{2AB898BB-0554-4950-BCCB-386D0121AADD}">
            <xm:f>NOT(ISERROR(SEARCH(TRUE,F138)))</xm:f>
            <xm:f>TRUE</xm:f>
            <x14:dxf>
              <font>
                <color rgb="FF03D4CC"/>
              </font>
              <fill>
                <patternFill patternType="solid">
                  <bgColor rgb="FF30322E"/>
                </patternFill>
              </fill>
            </x14:dxf>
          </x14:cfRule>
          <xm:sqref>F138</xm:sqref>
        </x14:conditionalFormatting>
        <x14:conditionalFormatting xmlns:xm="http://schemas.microsoft.com/office/excel/2006/main">
          <x14:cfRule type="containsText" priority="87" operator="containsText" id="{DD068C0E-68FB-4E35-91EB-A903F0014EBE}">
            <xm:f>NOT(ISERROR(SEARCH(TRUE,F139)))</xm:f>
            <xm:f>TRUE</xm:f>
            <x14:dxf>
              <font>
                <color rgb="FF03D4CC"/>
              </font>
              <fill>
                <patternFill patternType="solid">
                  <bgColor rgb="FF30322E"/>
                </patternFill>
              </fill>
            </x14:dxf>
          </x14:cfRule>
          <xm:sqref>F139:F140</xm:sqref>
        </x14:conditionalFormatting>
        <x14:conditionalFormatting xmlns:xm="http://schemas.microsoft.com/office/excel/2006/main">
          <x14:cfRule type="containsText" priority="86" operator="containsText" id="{52777292-81DA-442C-B44D-EBBC2A165FC1}">
            <xm:f>NOT(ISERROR(SEARCH(TRUE,F141)))</xm:f>
            <xm:f>TRUE</xm:f>
            <x14:dxf>
              <font>
                <color rgb="FF03D4CC"/>
              </font>
              <fill>
                <patternFill patternType="solid">
                  <bgColor rgb="FF30322E"/>
                </patternFill>
              </fill>
            </x14:dxf>
          </x14:cfRule>
          <xm:sqref>F141</xm:sqref>
        </x14:conditionalFormatting>
        <x14:conditionalFormatting xmlns:xm="http://schemas.microsoft.com/office/excel/2006/main">
          <x14:cfRule type="containsText" priority="85" operator="containsText" id="{38D6505A-1CCB-4E98-BB5F-B6AEF3B1987F}">
            <xm:f>NOT(ISERROR(SEARCH(TRUE,E137)))</xm:f>
            <xm:f>TRUE</xm:f>
            <x14:dxf>
              <font>
                <color rgb="FF03D4CC"/>
              </font>
              <fill>
                <patternFill patternType="solid">
                  <bgColor rgb="FF30322E"/>
                </patternFill>
              </fill>
            </x14:dxf>
          </x14:cfRule>
          <xm:sqref>E137</xm:sqref>
        </x14:conditionalFormatting>
        <x14:conditionalFormatting xmlns:xm="http://schemas.microsoft.com/office/excel/2006/main">
          <x14:cfRule type="containsText" priority="84" operator="containsText" id="{3DE66171-7BBF-4FFF-92D5-6640E18AB3FD}">
            <xm:f>NOT(ISERROR(SEARCH(TRUE,E138)))</xm:f>
            <xm:f>TRUE</xm:f>
            <x14:dxf>
              <font>
                <color rgb="FF03D4CC"/>
              </font>
              <fill>
                <patternFill patternType="solid">
                  <bgColor rgb="FF30322E"/>
                </patternFill>
              </fill>
            </x14:dxf>
          </x14:cfRule>
          <xm:sqref>E138</xm:sqref>
        </x14:conditionalFormatting>
        <x14:conditionalFormatting xmlns:xm="http://schemas.microsoft.com/office/excel/2006/main">
          <x14:cfRule type="containsText" priority="83" operator="containsText" id="{F14036CF-9B21-4153-BC29-887FA77B0706}">
            <xm:f>NOT(ISERROR(SEARCH(TRUE,E139)))</xm:f>
            <xm:f>TRUE</xm:f>
            <x14:dxf>
              <font>
                <color rgb="FF03D4CC"/>
              </font>
              <fill>
                <patternFill patternType="solid">
                  <bgColor rgb="FF30322E"/>
                </patternFill>
              </fill>
            </x14:dxf>
          </x14:cfRule>
          <xm:sqref>E139</xm:sqref>
        </x14:conditionalFormatting>
        <x14:conditionalFormatting xmlns:xm="http://schemas.microsoft.com/office/excel/2006/main">
          <x14:cfRule type="containsText" priority="82" operator="containsText" id="{8B5AE093-9FBE-4348-BF68-3C4ED8DA1960}">
            <xm:f>NOT(ISERROR(SEARCH(TRUE,E140)))</xm:f>
            <xm:f>TRUE</xm:f>
            <x14:dxf>
              <font>
                <color rgb="FF03D4CC"/>
              </font>
              <fill>
                <patternFill patternType="solid">
                  <bgColor rgb="FF30322E"/>
                </patternFill>
              </fill>
            </x14:dxf>
          </x14:cfRule>
          <xm:sqref>E140</xm:sqref>
        </x14:conditionalFormatting>
        <x14:conditionalFormatting xmlns:xm="http://schemas.microsoft.com/office/excel/2006/main">
          <x14:cfRule type="containsText" priority="81" operator="containsText" id="{AF52D1E1-C245-463B-9179-E77510082CE1}">
            <xm:f>NOT(ISERROR(SEARCH(TRUE,E141)))</xm:f>
            <xm:f>TRUE</xm:f>
            <x14:dxf>
              <font>
                <color rgb="FF03D4CC"/>
              </font>
              <fill>
                <patternFill patternType="solid">
                  <bgColor rgb="FF30322E"/>
                </patternFill>
              </fill>
            </x14:dxf>
          </x14:cfRule>
          <xm:sqref>E141</xm:sqref>
        </x14:conditionalFormatting>
        <x14:conditionalFormatting xmlns:xm="http://schemas.microsoft.com/office/excel/2006/main">
          <x14:cfRule type="containsText" priority="80" operator="containsText" id="{3F3D5AB0-C4B8-4CA5-A0EA-92D5C8B38108}">
            <xm:f>NOT(ISERROR(SEARCH(TRUE,G143)))</xm:f>
            <xm:f>TRUE</xm:f>
            <x14:dxf>
              <font>
                <color rgb="FF03D4CC"/>
              </font>
              <fill>
                <patternFill patternType="solid">
                  <bgColor rgb="FF30322E"/>
                </patternFill>
              </fill>
            </x14:dxf>
          </x14:cfRule>
          <xm:sqref>G143:G152</xm:sqref>
        </x14:conditionalFormatting>
        <x14:conditionalFormatting xmlns:xm="http://schemas.microsoft.com/office/excel/2006/main">
          <x14:cfRule type="containsText" priority="79" operator="containsText" id="{07677E1E-3561-472C-8672-575CE2AD2503}">
            <xm:f>NOT(ISERROR(SEARCH(TRUE,F143)))</xm:f>
            <xm:f>TRUE</xm:f>
            <x14:dxf>
              <font>
                <color rgb="FF03D4CC"/>
              </font>
              <fill>
                <patternFill patternType="solid">
                  <bgColor rgb="FF30322E"/>
                </patternFill>
              </fill>
            </x14:dxf>
          </x14:cfRule>
          <xm:sqref>F143 F153</xm:sqref>
        </x14:conditionalFormatting>
        <x14:conditionalFormatting xmlns:xm="http://schemas.microsoft.com/office/excel/2006/main">
          <x14:cfRule type="containsText" priority="78" operator="containsText" id="{0C8756BA-7284-459C-BDD6-89170E073129}">
            <xm:f>NOT(ISERROR(SEARCH(TRUE,F144)))</xm:f>
            <xm:f>TRUE</xm:f>
            <x14:dxf>
              <font>
                <color rgb="FF03D4CC"/>
              </font>
              <fill>
                <patternFill patternType="solid">
                  <bgColor rgb="FF30322E"/>
                </patternFill>
              </fill>
            </x14:dxf>
          </x14:cfRule>
          <xm:sqref>F144 F154</xm:sqref>
        </x14:conditionalFormatting>
        <x14:conditionalFormatting xmlns:xm="http://schemas.microsoft.com/office/excel/2006/main">
          <x14:cfRule type="containsText" priority="77" operator="containsText" id="{8FF531EA-98C2-4EE8-898A-3C1B8B342395}">
            <xm:f>NOT(ISERROR(SEARCH(TRUE,F145)))</xm:f>
            <xm:f>TRUE</xm:f>
            <x14:dxf>
              <font>
                <color rgb="FF03D4CC"/>
              </font>
              <fill>
                <patternFill patternType="solid">
                  <bgColor rgb="FF30322E"/>
                </patternFill>
              </fill>
            </x14:dxf>
          </x14:cfRule>
          <xm:sqref>F145:F146 F155:F156</xm:sqref>
        </x14:conditionalFormatting>
        <x14:conditionalFormatting xmlns:xm="http://schemas.microsoft.com/office/excel/2006/main">
          <x14:cfRule type="containsText" priority="76" operator="containsText" id="{6130C15A-7671-4A25-9AC6-D1922CE685A7}">
            <xm:f>NOT(ISERROR(SEARCH(TRUE,F147)))</xm:f>
            <xm:f>TRUE</xm:f>
            <x14:dxf>
              <font>
                <color rgb="FF03D4CC"/>
              </font>
              <fill>
                <patternFill patternType="solid">
                  <bgColor rgb="FF30322E"/>
                </patternFill>
              </fill>
            </x14:dxf>
          </x14:cfRule>
          <xm:sqref>F147</xm:sqref>
        </x14:conditionalFormatting>
        <x14:conditionalFormatting xmlns:xm="http://schemas.microsoft.com/office/excel/2006/main">
          <x14:cfRule type="containsText" priority="75" operator="containsText" id="{7411CADA-8239-4F0A-A00E-1C4C925A0444}">
            <xm:f>NOT(ISERROR(SEARCH(TRUE,E143)))</xm:f>
            <xm:f>TRUE</xm:f>
            <x14:dxf>
              <font>
                <color rgb="FF03D4CC"/>
              </font>
              <fill>
                <patternFill patternType="solid">
                  <bgColor rgb="FF30322E"/>
                </patternFill>
              </fill>
            </x14:dxf>
          </x14:cfRule>
          <xm:sqref>E143 E148 E153</xm:sqref>
        </x14:conditionalFormatting>
        <x14:conditionalFormatting xmlns:xm="http://schemas.microsoft.com/office/excel/2006/main">
          <x14:cfRule type="containsText" priority="74" operator="containsText" id="{73BDC5B7-D319-41A9-BCBF-DE1B1E645D11}">
            <xm:f>NOT(ISERROR(SEARCH(TRUE,E144)))</xm:f>
            <xm:f>TRUE</xm:f>
            <x14:dxf>
              <font>
                <color rgb="FF03D4CC"/>
              </font>
              <fill>
                <patternFill patternType="solid">
                  <bgColor rgb="FF30322E"/>
                </patternFill>
              </fill>
            </x14:dxf>
          </x14:cfRule>
          <xm:sqref>E144 E149 E154</xm:sqref>
        </x14:conditionalFormatting>
        <x14:conditionalFormatting xmlns:xm="http://schemas.microsoft.com/office/excel/2006/main">
          <x14:cfRule type="containsText" priority="73" operator="containsText" id="{51D15DA6-0229-4560-A139-2E03F7F239C3}">
            <xm:f>NOT(ISERROR(SEARCH(TRUE,E145)))</xm:f>
            <xm:f>TRUE</xm:f>
            <x14:dxf>
              <font>
                <color rgb="FF03D4CC"/>
              </font>
              <fill>
                <patternFill patternType="solid">
                  <bgColor rgb="FF30322E"/>
                </patternFill>
              </fill>
            </x14:dxf>
          </x14:cfRule>
          <xm:sqref>E145 E150 E155</xm:sqref>
        </x14:conditionalFormatting>
        <x14:conditionalFormatting xmlns:xm="http://schemas.microsoft.com/office/excel/2006/main">
          <x14:cfRule type="containsText" priority="72" operator="containsText" id="{C14847CA-C7CB-4908-9561-5C9BDB380EA7}">
            <xm:f>NOT(ISERROR(SEARCH(TRUE,E146)))</xm:f>
            <xm:f>TRUE</xm:f>
            <x14:dxf>
              <font>
                <color rgb="FF03D4CC"/>
              </font>
              <fill>
                <patternFill patternType="solid">
                  <bgColor rgb="FF30322E"/>
                </patternFill>
              </fill>
            </x14:dxf>
          </x14:cfRule>
          <xm:sqref>E146 E151 E156</xm:sqref>
        </x14:conditionalFormatting>
        <x14:conditionalFormatting xmlns:xm="http://schemas.microsoft.com/office/excel/2006/main">
          <x14:cfRule type="containsText" priority="71" operator="containsText" id="{37E1E7F1-186D-4925-9F56-52831800A720}">
            <xm:f>NOT(ISERROR(SEARCH(TRUE,E147)))</xm:f>
            <xm:f>TRUE</xm:f>
            <x14:dxf>
              <font>
                <color rgb="FF03D4CC"/>
              </font>
              <fill>
                <patternFill patternType="solid">
                  <bgColor rgb="FF30322E"/>
                </patternFill>
              </fill>
            </x14:dxf>
          </x14:cfRule>
          <xm:sqref>E147 E152:F152</xm:sqref>
        </x14:conditionalFormatting>
        <x14:conditionalFormatting xmlns:xm="http://schemas.microsoft.com/office/excel/2006/main">
          <x14:cfRule type="containsText" priority="70" operator="containsText" id="{CF42510E-785F-4BD0-81DD-151B43911874}">
            <xm:f>NOT(ISERROR(SEARCH(TRUE,F148)))</xm:f>
            <xm:f>TRUE</xm:f>
            <x14:dxf>
              <font>
                <color rgb="FF03D4CC"/>
              </font>
              <fill>
                <patternFill patternType="solid">
                  <bgColor rgb="FF30322E"/>
                </patternFill>
              </fill>
            </x14:dxf>
          </x14:cfRule>
          <xm:sqref>F148</xm:sqref>
        </x14:conditionalFormatting>
        <x14:conditionalFormatting xmlns:xm="http://schemas.microsoft.com/office/excel/2006/main">
          <x14:cfRule type="containsText" priority="69" operator="containsText" id="{4A71B534-C1E0-4E9E-BAB4-90158EF725EA}">
            <xm:f>NOT(ISERROR(SEARCH(TRUE,F149)))</xm:f>
            <xm:f>TRUE</xm:f>
            <x14:dxf>
              <font>
                <color rgb="FF03D4CC"/>
              </font>
              <fill>
                <patternFill patternType="solid">
                  <bgColor rgb="FF30322E"/>
                </patternFill>
              </fill>
            </x14:dxf>
          </x14:cfRule>
          <xm:sqref>F149</xm:sqref>
        </x14:conditionalFormatting>
        <x14:conditionalFormatting xmlns:xm="http://schemas.microsoft.com/office/excel/2006/main">
          <x14:cfRule type="containsText" priority="68" operator="containsText" id="{D7922F01-7751-4196-8BEF-0A3FCC4DFD4D}">
            <xm:f>NOT(ISERROR(SEARCH(TRUE,F150)))</xm:f>
            <xm:f>TRUE</xm:f>
            <x14:dxf>
              <font>
                <color rgb="FF03D4CC"/>
              </font>
              <fill>
                <patternFill patternType="solid">
                  <bgColor rgb="FF30322E"/>
                </patternFill>
              </fill>
            </x14:dxf>
          </x14:cfRule>
          <xm:sqref>F150</xm:sqref>
        </x14:conditionalFormatting>
        <x14:conditionalFormatting xmlns:xm="http://schemas.microsoft.com/office/excel/2006/main">
          <x14:cfRule type="containsText" priority="67" operator="containsText" id="{4632FF7B-3685-469E-82BD-A64915C0B448}">
            <xm:f>NOT(ISERROR(SEARCH(TRUE,F151)))</xm:f>
            <xm:f>TRUE</xm:f>
            <x14:dxf>
              <font>
                <color rgb="FF03D4CC"/>
              </font>
              <fill>
                <patternFill patternType="solid">
                  <bgColor rgb="FF30322E"/>
                </patternFill>
              </fill>
            </x14:dxf>
          </x14:cfRule>
          <xm:sqref>F151</xm:sqref>
        </x14:conditionalFormatting>
        <x14:conditionalFormatting xmlns:xm="http://schemas.microsoft.com/office/excel/2006/main">
          <x14:cfRule type="containsText" priority="66" operator="containsText" id="{729D9668-5352-4236-891B-F6FB333F1CE9}">
            <xm:f>NOT(ISERROR(SEARCH(TRUE,G156)))</xm:f>
            <xm:f>TRUE</xm:f>
            <x14:dxf>
              <font>
                <color rgb="FF03D4CC"/>
              </font>
              <fill>
                <patternFill patternType="solid">
                  <bgColor rgb="FF30322E"/>
                </patternFill>
              </fill>
            </x14:dxf>
          </x14:cfRule>
          <xm:sqref>G156</xm:sqref>
        </x14:conditionalFormatting>
        <x14:conditionalFormatting xmlns:xm="http://schemas.microsoft.com/office/excel/2006/main">
          <x14:cfRule type="containsText" priority="65" operator="containsText" id="{A6FA1A56-21AD-4B90-9EE4-9243DA8BB5D6}">
            <xm:f>NOT(ISERROR(SEARCH(TRUE,G155)))</xm:f>
            <xm:f>TRUE</xm:f>
            <x14:dxf>
              <font>
                <color rgb="FF03D4CC"/>
              </font>
              <fill>
                <patternFill patternType="solid">
                  <bgColor rgb="FF30322E"/>
                </patternFill>
              </fill>
            </x14:dxf>
          </x14:cfRule>
          <xm:sqref>G155</xm:sqref>
        </x14:conditionalFormatting>
        <x14:conditionalFormatting xmlns:xm="http://schemas.microsoft.com/office/excel/2006/main">
          <x14:cfRule type="containsText" priority="64" operator="containsText" id="{94660EB8-516F-49E2-9124-C971B0CD92B8}">
            <xm:f>NOT(ISERROR(SEARCH(TRUE,G154)))</xm:f>
            <xm:f>TRUE</xm:f>
            <x14:dxf>
              <font>
                <color rgb="FF03D4CC"/>
              </font>
              <fill>
                <patternFill patternType="solid">
                  <bgColor rgb="FF30322E"/>
                </patternFill>
              </fill>
            </x14:dxf>
          </x14:cfRule>
          <xm:sqref>G154</xm:sqref>
        </x14:conditionalFormatting>
        <x14:conditionalFormatting xmlns:xm="http://schemas.microsoft.com/office/excel/2006/main">
          <x14:cfRule type="containsText" priority="63" operator="containsText" id="{793D2879-1E04-4F73-91F9-39DC5F138B13}">
            <xm:f>NOT(ISERROR(SEARCH(TRUE,G153)))</xm:f>
            <xm:f>TRUE</xm:f>
            <x14:dxf>
              <font>
                <color rgb="FF03D4CC"/>
              </font>
              <fill>
                <patternFill patternType="solid">
                  <bgColor rgb="FF30322E"/>
                </patternFill>
              </fill>
            </x14:dxf>
          </x14:cfRule>
          <xm:sqref>G153</xm:sqref>
        </x14:conditionalFormatting>
        <x14:conditionalFormatting xmlns:xm="http://schemas.microsoft.com/office/excel/2006/main">
          <x14:cfRule type="containsText" priority="61" operator="containsText" id="{6EE0C832-067D-4E34-9386-894F867A732C}">
            <xm:f>NOT(ISERROR(SEARCH(TRUE,F158)))</xm:f>
            <xm:f>TRUE</xm:f>
            <x14:dxf>
              <font>
                <color rgb="FF03D4CC"/>
              </font>
              <fill>
                <patternFill patternType="solid">
                  <bgColor rgb="FF30322E"/>
                </patternFill>
              </fill>
            </x14:dxf>
          </x14:cfRule>
          <xm:sqref>F158</xm:sqref>
        </x14:conditionalFormatting>
        <x14:conditionalFormatting xmlns:xm="http://schemas.microsoft.com/office/excel/2006/main">
          <x14:cfRule type="containsText" priority="60" operator="containsText" id="{81C13A33-AC73-44D6-ABDA-5C31B84A6510}">
            <xm:f>NOT(ISERROR(SEARCH(TRUE,F159)))</xm:f>
            <xm:f>TRUE</xm:f>
            <x14:dxf>
              <font>
                <color rgb="FF03D4CC"/>
              </font>
              <fill>
                <patternFill patternType="solid">
                  <bgColor rgb="FF30322E"/>
                </patternFill>
              </fill>
            </x14:dxf>
          </x14:cfRule>
          <xm:sqref>F159</xm:sqref>
        </x14:conditionalFormatting>
        <x14:conditionalFormatting xmlns:xm="http://schemas.microsoft.com/office/excel/2006/main">
          <x14:cfRule type="containsText" priority="59" operator="containsText" id="{6A67D20C-5E73-44ED-A206-234A940117DD}">
            <xm:f>NOT(ISERROR(SEARCH(TRUE,F160)))</xm:f>
            <xm:f>TRUE</xm:f>
            <x14:dxf>
              <font>
                <color rgb="FF03D4CC"/>
              </font>
              <fill>
                <patternFill patternType="solid">
                  <bgColor rgb="FF30322E"/>
                </patternFill>
              </fill>
            </x14:dxf>
          </x14:cfRule>
          <xm:sqref>F160:F161</xm:sqref>
        </x14:conditionalFormatting>
        <x14:conditionalFormatting xmlns:xm="http://schemas.microsoft.com/office/excel/2006/main">
          <x14:cfRule type="containsText" priority="58" operator="containsText" id="{1C626822-6BAF-457F-92E4-78EC967ED978}">
            <xm:f>NOT(ISERROR(SEARCH(TRUE,E158)))</xm:f>
            <xm:f>TRUE</xm:f>
            <x14:dxf>
              <font>
                <color rgb="FF03D4CC"/>
              </font>
              <fill>
                <patternFill patternType="solid">
                  <bgColor rgb="FF30322E"/>
                </patternFill>
              </fill>
            </x14:dxf>
          </x14:cfRule>
          <xm:sqref>E158</xm:sqref>
        </x14:conditionalFormatting>
        <x14:conditionalFormatting xmlns:xm="http://schemas.microsoft.com/office/excel/2006/main">
          <x14:cfRule type="containsText" priority="57" operator="containsText" id="{BD261309-6F1B-4AB6-B03E-777D767338B3}">
            <xm:f>NOT(ISERROR(SEARCH(TRUE,E159)))</xm:f>
            <xm:f>TRUE</xm:f>
            <x14:dxf>
              <font>
                <color rgb="FF03D4CC"/>
              </font>
              <fill>
                <patternFill patternType="solid">
                  <bgColor rgb="FF30322E"/>
                </patternFill>
              </fill>
            </x14:dxf>
          </x14:cfRule>
          <xm:sqref>E159</xm:sqref>
        </x14:conditionalFormatting>
        <x14:conditionalFormatting xmlns:xm="http://schemas.microsoft.com/office/excel/2006/main">
          <x14:cfRule type="containsText" priority="56" operator="containsText" id="{269FEA4A-2940-4A01-952E-B08147D63E05}">
            <xm:f>NOT(ISERROR(SEARCH(TRUE,E160)))</xm:f>
            <xm:f>TRUE</xm:f>
            <x14:dxf>
              <font>
                <color rgb="FF03D4CC"/>
              </font>
              <fill>
                <patternFill patternType="solid">
                  <bgColor rgb="FF30322E"/>
                </patternFill>
              </fill>
            </x14:dxf>
          </x14:cfRule>
          <xm:sqref>E160</xm:sqref>
        </x14:conditionalFormatting>
        <x14:conditionalFormatting xmlns:xm="http://schemas.microsoft.com/office/excel/2006/main">
          <x14:cfRule type="containsText" priority="55" operator="containsText" id="{9CADCC42-EA66-45A2-833D-D39BB073168B}">
            <xm:f>NOT(ISERROR(SEARCH(TRUE,E161)))</xm:f>
            <xm:f>TRUE</xm:f>
            <x14:dxf>
              <font>
                <color rgb="FF03D4CC"/>
              </font>
              <fill>
                <patternFill patternType="solid">
                  <bgColor rgb="FF30322E"/>
                </patternFill>
              </fill>
            </x14:dxf>
          </x14:cfRule>
          <xm:sqref>E161</xm:sqref>
        </x14:conditionalFormatting>
        <x14:conditionalFormatting xmlns:xm="http://schemas.microsoft.com/office/excel/2006/main">
          <x14:cfRule type="containsText" priority="54" operator="containsText" id="{33C53CA0-C981-4D3F-B19E-DD20F79DE494}">
            <xm:f>NOT(ISERROR(SEARCH(TRUE,G158)))</xm:f>
            <xm:f>TRUE</xm:f>
            <x14:dxf>
              <font>
                <color rgb="FF03D4CC"/>
              </font>
              <fill>
                <patternFill patternType="solid">
                  <bgColor rgb="FF30322E"/>
                </patternFill>
              </fill>
            </x14:dxf>
          </x14:cfRule>
          <xm:sqref>G158</xm:sqref>
        </x14:conditionalFormatting>
        <x14:conditionalFormatting xmlns:xm="http://schemas.microsoft.com/office/excel/2006/main">
          <x14:cfRule type="containsText" priority="53" operator="containsText" id="{70649C82-9A9F-4D16-B8E0-F2ADCB36FFD8}">
            <xm:f>NOT(ISERROR(SEARCH(TRUE,G159)))</xm:f>
            <xm:f>TRUE</xm:f>
            <x14:dxf>
              <font>
                <color rgb="FF03D4CC"/>
              </font>
              <fill>
                <patternFill patternType="solid">
                  <bgColor rgb="FF30322E"/>
                </patternFill>
              </fill>
            </x14:dxf>
          </x14:cfRule>
          <xm:sqref>G159</xm:sqref>
        </x14:conditionalFormatting>
        <x14:conditionalFormatting xmlns:xm="http://schemas.microsoft.com/office/excel/2006/main">
          <x14:cfRule type="containsText" priority="52" operator="containsText" id="{7C257C13-BD72-42E6-84DA-4524215ECA67}">
            <xm:f>NOT(ISERROR(SEARCH(TRUE,G160)))</xm:f>
            <xm:f>TRUE</xm:f>
            <x14:dxf>
              <font>
                <color rgb="FF03D4CC"/>
              </font>
              <fill>
                <patternFill patternType="solid">
                  <bgColor rgb="FF30322E"/>
                </patternFill>
              </fill>
            </x14:dxf>
          </x14:cfRule>
          <xm:sqref>G160</xm:sqref>
        </x14:conditionalFormatting>
        <x14:conditionalFormatting xmlns:xm="http://schemas.microsoft.com/office/excel/2006/main">
          <x14:cfRule type="containsText" priority="51" operator="containsText" id="{C6E2F1C6-4C42-473C-B3BC-8527AF9B40C3}">
            <xm:f>NOT(ISERROR(SEARCH(TRUE,G161)))</xm:f>
            <xm:f>TRUE</xm:f>
            <x14:dxf>
              <font>
                <color rgb="FF03D4CC"/>
              </font>
              <fill>
                <patternFill patternType="solid">
                  <bgColor rgb="FF30322E"/>
                </patternFill>
              </fill>
            </x14:dxf>
          </x14:cfRule>
          <xm:sqref>G161</xm:sqref>
        </x14:conditionalFormatting>
        <x14:conditionalFormatting xmlns:xm="http://schemas.microsoft.com/office/excel/2006/main">
          <x14:cfRule type="containsText" priority="50" operator="containsText" id="{B19AFCFD-9565-4D87-A6E2-F673D6D400B9}">
            <xm:f>NOT(ISERROR(SEARCH(TRUE,F163)))</xm:f>
            <xm:f>TRUE</xm:f>
            <x14:dxf>
              <font>
                <color rgb="FF03D4CC"/>
              </font>
              <fill>
                <patternFill patternType="solid">
                  <bgColor rgb="FF30322E"/>
                </patternFill>
              </fill>
            </x14:dxf>
          </x14:cfRule>
          <xm:sqref>F163 F167</xm:sqref>
        </x14:conditionalFormatting>
        <x14:conditionalFormatting xmlns:xm="http://schemas.microsoft.com/office/excel/2006/main">
          <x14:cfRule type="containsText" priority="49" operator="containsText" id="{3393F342-2B23-4704-A6D7-8B5B9C29AA10}">
            <xm:f>NOT(ISERROR(SEARCH(TRUE,F164)))</xm:f>
            <xm:f>TRUE</xm:f>
            <x14:dxf>
              <font>
                <color rgb="FF03D4CC"/>
              </font>
              <fill>
                <patternFill patternType="solid">
                  <bgColor rgb="FF30322E"/>
                </patternFill>
              </fill>
            </x14:dxf>
          </x14:cfRule>
          <xm:sqref>F164</xm:sqref>
        </x14:conditionalFormatting>
        <x14:conditionalFormatting xmlns:xm="http://schemas.microsoft.com/office/excel/2006/main">
          <x14:cfRule type="containsText" priority="48" operator="containsText" id="{37B082C1-688F-490E-AD20-2C5CF1CA11A9}">
            <xm:f>NOT(ISERROR(SEARCH(TRUE,F165)))</xm:f>
            <xm:f>TRUE</xm:f>
            <x14:dxf>
              <font>
                <color rgb="FF03D4CC"/>
              </font>
              <fill>
                <patternFill patternType="solid">
                  <bgColor rgb="FF30322E"/>
                </patternFill>
              </fill>
            </x14:dxf>
          </x14:cfRule>
          <xm:sqref>F165:F166</xm:sqref>
        </x14:conditionalFormatting>
        <x14:conditionalFormatting xmlns:xm="http://schemas.microsoft.com/office/excel/2006/main">
          <x14:cfRule type="containsText" priority="47" operator="containsText" id="{DDD43A9E-91A1-4AE5-9AE8-D7BB14E2D0DB}">
            <xm:f>NOT(ISERROR(SEARCH(TRUE,E163)))</xm:f>
            <xm:f>TRUE</xm:f>
            <x14:dxf>
              <font>
                <color rgb="FF03D4CC"/>
              </font>
              <fill>
                <patternFill patternType="solid">
                  <bgColor rgb="FF30322E"/>
                </patternFill>
              </fill>
            </x14:dxf>
          </x14:cfRule>
          <xm:sqref>E163 E167</xm:sqref>
        </x14:conditionalFormatting>
        <x14:conditionalFormatting xmlns:xm="http://schemas.microsoft.com/office/excel/2006/main">
          <x14:cfRule type="containsText" priority="46" operator="containsText" id="{389DD32C-7674-4A7E-9E94-D5C19A72D189}">
            <xm:f>NOT(ISERROR(SEARCH(TRUE,E164)))</xm:f>
            <xm:f>TRUE</xm:f>
            <x14:dxf>
              <font>
                <color rgb="FF03D4CC"/>
              </font>
              <fill>
                <patternFill patternType="solid">
                  <bgColor rgb="FF30322E"/>
                </patternFill>
              </fill>
            </x14:dxf>
          </x14:cfRule>
          <xm:sqref>E164</xm:sqref>
        </x14:conditionalFormatting>
        <x14:conditionalFormatting xmlns:xm="http://schemas.microsoft.com/office/excel/2006/main">
          <x14:cfRule type="containsText" priority="45" operator="containsText" id="{4E975F06-6D01-4484-8285-8833D47A3C0E}">
            <xm:f>NOT(ISERROR(SEARCH(TRUE,E165)))</xm:f>
            <xm:f>TRUE</xm:f>
            <x14:dxf>
              <font>
                <color rgb="FF03D4CC"/>
              </font>
              <fill>
                <patternFill patternType="solid">
                  <bgColor rgb="FF30322E"/>
                </patternFill>
              </fill>
            </x14:dxf>
          </x14:cfRule>
          <xm:sqref>E165</xm:sqref>
        </x14:conditionalFormatting>
        <x14:conditionalFormatting xmlns:xm="http://schemas.microsoft.com/office/excel/2006/main">
          <x14:cfRule type="containsText" priority="44" operator="containsText" id="{ACE3A1F1-665B-4D8C-BC64-BA4C64EEDB8A}">
            <xm:f>NOT(ISERROR(SEARCH(TRUE,E166)))</xm:f>
            <xm:f>TRUE</xm:f>
            <x14:dxf>
              <font>
                <color rgb="FF03D4CC"/>
              </font>
              <fill>
                <patternFill patternType="solid">
                  <bgColor rgb="FF30322E"/>
                </patternFill>
              </fill>
            </x14:dxf>
          </x14:cfRule>
          <xm:sqref>E166</xm:sqref>
        </x14:conditionalFormatting>
        <x14:conditionalFormatting xmlns:xm="http://schemas.microsoft.com/office/excel/2006/main">
          <x14:cfRule type="containsText" priority="43" operator="containsText" id="{54536714-DB83-4CB2-A659-0C135F565671}">
            <xm:f>NOT(ISERROR(SEARCH(TRUE,G163)))</xm:f>
            <xm:f>TRUE</xm:f>
            <x14:dxf>
              <font>
                <color rgb="FF03D4CC"/>
              </font>
              <fill>
                <patternFill patternType="solid">
                  <bgColor rgb="FF30322E"/>
                </patternFill>
              </fill>
            </x14:dxf>
          </x14:cfRule>
          <xm:sqref>G163 G167</xm:sqref>
        </x14:conditionalFormatting>
        <x14:conditionalFormatting xmlns:xm="http://schemas.microsoft.com/office/excel/2006/main">
          <x14:cfRule type="containsText" priority="42" operator="containsText" id="{E4B41863-07A9-4B04-9E5C-4572E832F595}">
            <xm:f>NOT(ISERROR(SEARCH(TRUE,G164)))</xm:f>
            <xm:f>TRUE</xm:f>
            <x14:dxf>
              <font>
                <color rgb="FF03D4CC"/>
              </font>
              <fill>
                <patternFill patternType="solid">
                  <bgColor rgb="FF30322E"/>
                </patternFill>
              </fill>
            </x14:dxf>
          </x14:cfRule>
          <xm:sqref>G164</xm:sqref>
        </x14:conditionalFormatting>
        <x14:conditionalFormatting xmlns:xm="http://schemas.microsoft.com/office/excel/2006/main">
          <x14:cfRule type="containsText" priority="41" operator="containsText" id="{66D5DF47-22F6-4E09-AFC8-6CCF6CEC669F}">
            <xm:f>NOT(ISERROR(SEARCH(TRUE,G165)))</xm:f>
            <xm:f>TRUE</xm:f>
            <x14:dxf>
              <font>
                <color rgb="FF03D4CC"/>
              </font>
              <fill>
                <patternFill patternType="solid">
                  <bgColor rgb="FF30322E"/>
                </patternFill>
              </fill>
            </x14:dxf>
          </x14:cfRule>
          <xm:sqref>G165</xm:sqref>
        </x14:conditionalFormatting>
        <x14:conditionalFormatting xmlns:xm="http://schemas.microsoft.com/office/excel/2006/main">
          <x14:cfRule type="containsText" priority="40" operator="containsText" id="{7B09BB1C-69D2-4AD7-ACED-E0DCFF555E4B}">
            <xm:f>NOT(ISERROR(SEARCH(TRUE,G166)))</xm:f>
            <xm:f>TRUE</xm:f>
            <x14:dxf>
              <font>
                <color rgb="FF03D4CC"/>
              </font>
              <fill>
                <patternFill patternType="solid">
                  <bgColor rgb="FF30322E"/>
                </patternFill>
              </fill>
            </x14:dxf>
          </x14:cfRule>
          <xm:sqref>G166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2026-04-14T18:15:21Z</dcterms:created>
  <dcterms:modified xsi:type="dcterms:W3CDTF">2026-04-29T20:11:37Z</dcterms:modified>
  <cp:category/>
  <cp:contentStatus/>
</cp:coreProperties>
</file>